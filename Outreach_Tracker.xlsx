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ileensolomon/Buisness-Website/"/>
    </mc:Choice>
  </mc:AlternateContent>
  <xr:revisionPtr revIDLastSave="0" documentId="13_ncr:1_{646597A7-203D-2D47-A5CD-C55D9DD05FC0}" xr6:coauthVersionLast="47" xr6:coauthVersionMax="47" xr10:uidLastSave="{00000000-0000-0000-0000-000000000000}"/>
  <bookViews>
    <workbookView xWindow="0" yWindow="0" windowWidth="28800" windowHeight="16300" activeTab="1" xr2:uid="{00000000-000D-0000-FFFF-FFFF00000000}"/>
  </bookViews>
  <sheets>
    <sheet name="Dashboard" sheetId="1" r:id="rId1"/>
    <sheet name="Outreach Tracker" sheetId="2" r:id="rId2"/>
    <sheet name="Instructions" sheetId="3" r:id="rId3"/>
  </sheets>
  <definedNames>
    <definedName name="_xlnm._FilterDatabase" localSheetId="1" hidden="1">'Outreach Tracker'!$A$4:$T$148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6" i="1"/>
  <c r="C25" i="1"/>
  <c r="C21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K6" i="1"/>
  <c r="H6" i="1"/>
  <c r="E6" i="1"/>
  <c r="B6" i="1"/>
</calcChain>
</file>

<file path=xl/sharedStrings.xml><?xml version="1.0" encoding="utf-8"?>
<sst xmlns="http://schemas.openxmlformats.org/spreadsheetml/2006/main" count="493" uniqueCount="309">
  <si>
    <t>ATHLETEFOLIO  |  OUTREACH TRACKER</t>
  </si>
  <si>
    <t>One row per contact. Click cells in Contact Type, Outreach Method, Status, and Priority to pick from a dropdown.</t>
  </si>
  <si>
    <t>ID</t>
  </si>
  <si>
    <t>Date First
Contacted</t>
  </si>
  <si>
    <t>Name</t>
  </si>
  <si>
    <t>Contact Type</t>
  </si>
  <si>
    <t>Organization / Team / School</t>
  </si>
  <si>
    <t>Grad Year</t>
  </si>
  <si>
    <t>Position</t>
  </si>
  <si>
    <t>City, State</t>
  </si>
  <si>
    <t>Email</t>
  </si>
  <si>
    <t>Phone</t>
  </si>
  <si>
    <t>Instagram / Social</t>
  </si>
  <si>
    <t>Source</t>
  </si>
  <si>
    <t>Outreach Method</t>
  </si>
  <si>
    <t>Status</t>
  </si>
  <si>
    <t>Last Contact</t>
  </si>
  <si>
    <t>Next Follow-Up</t>
  </si>
  <si>
    <t>Touchpoints</t>
  </si>
  <si>
    <t>Priority</t>
  </si>
  <si>
    <t>Referred By</t>
  </si>
  <si>
    <t>Notes</t>
  </si>
  <si>
    <t>Jordan Williams</t>
  </si>
  <si>
    <t>Player</t>
  </si>
  <si>
    <t>Lakeview HS Soccer</t>
  </si>
  <si>
    <t>Forward</t>
  </si>
  <si>
    <t>Austin, TX</t>
  </si>
  <si>
    <t>jordan.w@email.com</t>
  </si>
  <si>
    <t>512-555-0143</t>
  </si>
  <si>
    <t>@jwilliams_10</t>
  </si>
  <si>
    <t>Instagram DM</t>
  </si>
  <si>
    <t>Interested</t>
  </si>
  <si>
    <t>High</t>
  </si>
  <si>
    <t>Dad is a coach too, warm lead. Wants site before fall showcase.</t>
  </si>
  <si>
    <t>Coach Mike Torres</t>
  </si>
  <si>
    <t>High School Coach</t>
  </si>
  <si>
    <t>Cedar Park HS</t>
  </si>
  <si>
    <t>Cedar Park, TX</t>
  </si>
  <si>
    <t>mtorres@cedarparkisd.org</t>
  </si>
  <si>
    <t>512-555-0199</t>
  </si>
  <si>
    <t>Follow-Up Needed</t>
  </si>
  <si>
    <t>Medium</t>
  </si>
  <si>
    <t>Sent intro email + pricing one-pager. No response yet.</t>
  </si>
  <si>
    <t>Austin FC Youth Club</t>
  </si>
  <si>
    <t>Club</t>
  </si>
  <si>
    <t>Austin FC Youth</t>
  </si>
  <si>
    <t>info@austinfcyouth.org</t>
  </si>
  <si>
    <t>512-555-0110</t>
  </si>
  <si>
    <t>@austinfcyouth</t>
  </si>
  <si>
    <t>In-Person</t>
  </si>
  <si>
    <t>Meeting Scheduled</t>
  </si>
  <si>
    <t>Meeting w/ director set for 7/18 re: bulk club discount.</t>
  </si>
  <si>
    <t>Michael Silverstein</t>
  </si>
  <si>
    <t>Clarence HS</t>
  </si>
  <si>
    <t>Clarence, NY</t>
  </si>
  <si>
    <t>msilverstein@clarenceschools.org</t>
  </si>
  <si>
    <t>Web Research</t>
  </si>
  <si>
    <t>Not Contacted</t>
  </si>
  <si>
    <t>League: ECIC I. Source: https://www.clarenceschools.org/athletics/coach-listing</t>
  </si>
  <si>
    <t>Ronald Sporyz</t>
  </si>
  <si>
    <t>Frontier HS</t>
  </si>
  <si>
    <t>Hamburg, NY</t>
  </si>
  <si>
    <t>ronaldsporyz60@gmail.com</t>
  </si>
  <si>
    <t>League: ECIC I. Source: https://highschoolsports.org/new-york/nysphsaa/section-6/girls-soccer/2025/team/frontier/staff</t>
  </si>
  <si>
    <t>Brianna Sorrentino</t>
  </si>
  <si>
    <t>Lancaster HS</t>
  </si>
  <si>
    <t>Lancaster, NY</t>
  </si>
  <si>
    <t>bsorrentino@lancasterschools.org</t>
  </si>
  <si>
    <t>League: ECIC I. Source: https://highschoolsports.org/new-york/nysphsaa/section-6/girls-soccer/2025/team/lancaster/staff</t>
  </si>
  <si>
    <t>Mike Graffeo</t>
  </si>
  <si>
    <t>Orchard Park HS</t>
  </si>
  <si>
    <t>Orchard Park, NY</t>
  </si>
  <si>
    <t>mgraffeo@opschools.org</t>
  </si>
  <si>
    <t>(716) 209-6208 (athletics office)</t>
  </si>
  <si>
    <t>League: ECIC I. Source: https://www.opschools.org/departments/athletic-department/sports-offered-and-coaches</t>
  </si>
  <si>
    <t>Justin DiLoro</t>
  </si>
  <si>
    <t>West Seneca HS (East/West co-op)</t>
  </si>
  <si>
    <t>West Seneca, NY</t>
  </si>
  <si>
    <t>jdiloro@wscschools.org</t>
  </si>
  <si>
    <t>League: ECIC I. Source: https://highschoolsports.org/new-york/nysphsaa/section-6/girls-soccer/2025/team/west-seneca/staff</t>
  </si>
  <si>
    <t>Michael Chrites</t>
  </si>
  <si>
    <t>Williamsville North HS</t>
  </si>
  <si>
    <t>Amherst, NY</t>
  </si>
  <si>
    <t>mchrites@williamsvillek12.org</t>
  </si>
  <si>
    <t>716-626-8542 (AD office)</t>
  </si>
  <si>
    <t>League: ECIC I. Source: https://highschoolsports.org/new-york/nysphsaa/section-6/girls-soccer/2025/team/williamsville-north/staff</t>
  </si>
  <si>
    <t>JoAnna Fildes</t>
  </si>
  <si>
    <t>Amherst HS</t>
  </si>
  <si>
    <t>jfildes@amherstschools.org</t>
  </si>
  <si>
    <t>League: ECIC II. Source: https://highschoolsports.org/new-york/nysphsaa/section-6/girls-soccer/2025/team/amherst/staff</t>
  </si>
  <si>
    <t>Krissy McCabe</t>
  </si>
  <si>
    <t>Hamburg HS</t>
  </si>
  <si>
    <t>kmccabe0803@gmail.com</t>
  </si>
  <si>
    <t>League: ECIC II. Source: https://highschoolsports.org/new-york/nysphsaa/section-6/girls-soccer/2025/team/hamburg/staff</t>
  </si>
  <si>
    <t>Kristen Casero</t>
  </si>
  <si>
    <t>Starpoint HS</t>
  </si>
  <si>
    <t>League: ECIC II. Source: https://www.starpointcsd.org/domain/30 NOTE: Email found in Section VI data had a mismatched domain (nwcsd.org, which belongs to Niagara-Wheatfield) - verify directly via district before contacting.</t>
  </si>
  <si>
    <t>Mark Ricupito</t>
  </si>
  <si>
    <t>Sweet Home HS</t>
  </si>
  <si>
    <t>mricupito@sweethomeschools.org</t>
  </si>
  <si>
    <t>League: ECIC II. Source: https://highschoolsports.org/new-york/nysphsaa/section-6/girls-soccer/2025/team/sweet-home/staff</t>
  </si>
  <si>
    <t>Liam Kelly</t>
  </si>
  <si>
    <t>Williamsville East HS</t>
  </si>
  <si>
    <t>East Amherst, NY</t>
  </si>
  <si>
    <t>liamk739@gmail.com</t>
  </si>
  <si>
    <t>League: ECIC II. Source: https://highschoolsports.org/new-york/nysphsaa/section-6/girls-soccer/2025/team/williamsville-east/staff</t>
  </si>
  <si>
    <t>Carissima Cutrona</t>
  </si>
  <si>
    <t>Williamsville South HS</t>
  </si>
  <si>
    <t>carissim@buffalo.edu</t>
  </si>
  <si>
    <t>League: ECIC II. Source: https://highschoolsports.org/new-york/nysphsaa/section-6/girls-soccer/2025/team/williamsville-south/staff</t>
  </si>
  <si>
    <t>Paul Caban</t>
  </si>
  <si>
    <t>Depew HS</t>
  </si>
  <si>
    <t>Depew, NY</t>
  </si>
  <si>
    <t>pcaban@depewschools.org</t>
  </si>
  <si>
    <t>League: ECIC III. Source: https://highschoolsports.org/new-york/nysphsaa/section-6/girls-soccer/2025/team/depew/staff</t>
  </si>
  <si>
    <t>Sydney Cerza</t>
  </si>
  <si>
    <t>East Aurora HS</t>
  </si>
  <si>
    <t>East Aurora, NY</t>
  </si>
  <si>
    <t>scerza@eak12.org</t>
  </si>
  <si>
    <t>League: ECIC III. Source: https://highschoolsports.org/new-york/nysphsaa/section-6/girls-soccer/2025/team/east-aurora/staff</t>
  </si>
  <si>
    <t>Grace Kulniszewski</t>
  </si>
  <si>
    <t>Iroquois HS</t>
  </si>
  <si>
    <t>Elma, NY</t>
  </si>
  <si>
    <t>grace.kulniszewski8@yahoo.com</t>
  </si>
  <si>
    <t>League: ECIC III. Source: https://highschoolsports.org/new-york/nysphsaa/section-6/girls-soccer/2025/team/iroquois/staff</t>
  </si>
  <si>
    <t>Breanna Blasz</t>
  </si>
  <si>
    <t>Lake Shore HS</t>
  </si>
  <si>
    <t>Angola, NY</t>
  </si>
  <si>
    <t>breanna.blasz@lscsd.org</t>
  </si>
  <si>
    <t>League: ECIC III. Source: https://highschoolsports.org/new-york/nysphsaa/section-6/girls-soccer/2025/team/lake-shore/staff</t>
  </si>
  <si>
    <t>Tracy Poole</t>
  </si>
  <si>
    <t>Maryvale HS</t>
  </si>
  <si>
    <t>Cheektowaga, NY</t>
  </si>
  <si>
    <t>poolsie@yahoo.com</t>
  </si>
  <si>
    <t>League: ECIC III. Source: https://highschoolsports.org/new-york/nysphsaa/section-6/girls-soccer/2025/team/maryvale/staff</t>
  </si>
  <si>
    <t>Tammy Whiteford</t>
  </si>
  <si>
    <t>Alden HS</t>
  </si>
  <si>
    <t>Alden, NY</t>
  </si>
  <si>
    <t>twhiteford@aldenschools.org</t>
  </si>
  <si>
    <t>League: ECIC IV. Source: https://highschoolsports.org/new-york/nysphsaa/section-6/girls-soccer/2025/team/alden/staff</t>
  </si>
  <si>
    <t>Kevin Witman</t>
  </si>
  <si>
    <t>Eden HS</t>
  </si>
  <si>
    <t>Eden, NY</t>
  </si>
  <si>
    <t>kwitman@edencsd.org</t>
  </si>
  <si>
    <t>League: ECIC IV. Source: https://highschoolsports.org/new-york/nysphsaa/section-6/girls-soccer/2025/team/eden/staff</t>
  </si>
  <si>
    <t>Kelly Reisdorf</t>
  </si>
  <si>
    <t>Holland HS</t>
  </si>
  <si>
    <t>Holland, NY</t>
  </si>
  <si>
    <t>kreisdorf9@gmail.com</t>
  </si>
  <si>
    <t>League: ECIC IV. Source: https://highschoolsports.org/new-york/nysphsaa/section-6/girls-soccer/2025/team/holland/staff</t>
  </si>
  <si>
    <t>Eric Fiorello</t>
  </si>
  <si>
    <t>JFK HS (Cheektowaga-Sloan)</t>
  </si>
  <si>
    <t>efiorello@cheektowagasloan.org</t>
  </si>
  <si>
    <t>League: ECIC IV. Source: https://highschoolsports.org/new-york/nysphsaa/section-6/girls-soccer/2025/team/jfk/staff</t>
  </si>
  <si>
    <t>Julie Noeson &amp; Valerie Brown (co-coaches)</t>
  </si>
  <si>
    <t>Springville-Griffith Institute</t>
  </si>
  <si>
    <t>Springville, NY</t>
  </si>
  <si>
    <t>jnoeson@springvillegi.org; vbrown@springvillegi.org</t>
  </si>
  <si>
    <t>League: ECIC IV. Source: https://highschoolsports.org/new-york/nysphsaa/section-6/girls-soccer/2025/team/springville/staff</t>
  </si>
  <si>
    <t>Trevor Pray</t>
  </si>
  <si>
    <t>Tonawanda HS</t>
  </si>
  <si>
    <t>Tonawanda, NY</t>
  </si>
  <si>
    <t>tpray@tonacsd.org</t>
  </si>
  <si>
    <t>League: ECIC IV. Source: https://highschoolsports.org/new-york/nysphsaa/section-6/girls-soccer/2025/team/tonawanda/staff</t>
  </si>
  <si>
    <t>Jill Ungaro</t>
  </si>
  <si>
    <t>Grand Island HS</t>
  </si>
  <si>
    <t>Grand Island, NY</t>
  </si>
  <si>
    <t>jillungaro@gicsd.org</t>
  </si>
  <si>
    <t>League: Niagara Frontier League. Source: https://highschoolsports.org/new-york/nysphsaa/section-6/girls-soccer/2025/team/grand-island/staff</t>
  </si>
  <si>
    <t>Dan Norton &amp; Roger Martin (co-coaches)</t>
  </si>
  <si>
    <t>Kenmore East HS</t>
  </si>
  <si>
    <t>Kenmore, NY</t>
  </si>
  <si>
    <t>dnorton@ktufsd.org</t>
  </si>
  <si>
    <t>League: Niagara Frontier League. Source: https://highschoolsports.org/new-york/nysphsaa/section-6/girls-soccer/2025/team/kenmore-east/staff</t>
  </si>
  <si>
    <t>Sarah Galante</t>
  </si>
  <si>
    <t>Kenmore West HS</t>
  </si>
  <si>
    <t>sgalante@ktufsd.org</t>
  </si>
  <si>
    <t>League: Niagara Frontier League. Source: https://highschoolsports.org/new-york/nysphsaa/section-6/girls-soccer/2025/team/kenmore-west/staff</t>
  </si>
  <si>
    <t>Emily Brook</t>
  </si>
  <si>
    <t>Lewiston-Porter HS</t>
  </si>
  <si>
    <t>Youngstown, NY</t>
  </si>
  <si>
    <t>ebrook@lew-port.com</t>
  </si>
  <si>
    <t>League: Niagara Frontier League. Source: https://highschoolsports.org/new-york/nysphsaa/section-6/girls-soccer/2025/team/lewiston-porter/staff</t>
  </si>
  <si>
    <t>Anthony Pellicano</t>
  </si>
  <si>
    <t>Lockport HS</t>
  </si>
  <si>
    <t>Lockport, NY</t>
  </si>
  <si>
    <t>apellicano@lockportschools.net</t>
  </si>
  <si>
    <t>League: Niagara Frontier League. Source: https://highschoolsports.org/new-york/nysphsaa/section-6/girls-soccer/2025/team/lockport/staff</t>
  </si>
  <si>
    <t>Catherine (Cathy) Burke</t>
  </si>
  <si>
    <t>Niagara Falls HS</t>
  </si>
  <si>
    <t>Niagara Falls, NY</t>
  </si>
  <si>
    <t>cburke@nfschools.net</t>
  </si>
  <si>
    <t>League: Niagara Frontier League. Source: https://highschoolsports.org/new-york/nysphsaa/section-6/girls-soccer/2025/team/niagara-falls/staff</t>
  </si>
  <si>
    <t>Larry Monahan</t>
  </si>
  <si>
    <t>Niagara Wheatfield HS</t>
  </si>
  <si>
    <t>Sanborn, NY</t>
  </si>
  <si>
    <t>monahanl@hotmail.com</t>
  </si>
  <si>
    <t>League: Niagara Frontier League. Source: https://highschoolsports.org/new-york/nysphsaa/section-6/girls-soccer/2025/team/niagara-wheatfield/staff</t>
  </si>
  <si>
    <t>Hannah Crouch-Sicuranzo</t>
  </si>
  <si>
    <t>North Tonawanda HS</t>
  </si>
  <si>
    <t>North Tonawanda, NY</t>
  </si>
  <si>
    <t>hcrouchsicuranzo@ntschools.org</t>
  </si>
  <si>
    <t>League: Niagara Frontier League. Source: https://highschoolsports.org/new-york/nysphsaa/section-6/girls-soccer/2025/team/north-tonawanda/staff</t>
  </si>
  <si>
    <t>Kelsey Volpe</t>
  </si>
  <si>
    <t>Charter School for Applied Technologies (CSAT)</t>
  </si>
  <si>
    <t>Buffalo, NY</t>
  </si>
  <si>
    <t>ksammon@csat-k12.org</t>
  </si>
  <si>
    <t>League: Niagara Frontier League. Source: https://highschoolsports.org/new-york/nysphsaa/section-6/girls-soccer/2025/team/csat/staff NOTE: Listed email appears to be under a different staff name than the coach - verify before relying on it.</t>
  </si>
  <si>
    <t>Ed Apholz</t>
  </si>
  <si>
    <t>Akron HS</t>
  </si>
  <si>
    <t>Akron, NY</t>
  </si>
  <si>
    <t>edapholz@gmail.com</t>
  </si>
  <si>
    <t>League: Niagara-Orleans League. Source: https://highschoolsports.org/new-york/nysphsaa/section-6/girls-soccer/2025/team/akron/staff</t>
  </si>
  <si>
    <t>Rachel Chunco</t>
  </si>
  <si>
    <t>Newfane HS</t>
  </si>
  <si>
    <t>Newfane, NY</t>
  </si>
  <si>
    <t>rchunco@newfanecentralschools.org</t>
  </si>
  <si>
    <t>League: Niagara-Orleans League. Source: https://highschoolsports.org/new-york/nysphsaa/section-6/girls-soccer/2025/team/newfane/staff</t>
  </si>
  <si>
    <t>Richard Jennings</t>
  </si>
  <si>
    <t>Royalton-Hartland HS (Roy-Hart)</t>
  </si>
  <si>
    <t>Middleport, NY</t>
  </si>
  <si>
    <t>alwaysjennings@gmail.com</t>
  </si>
  <si>
    <t>League: Niagara-Orleans League. Source: https://highschoolsports.org/new-york/nysphsaa/section-6/girls-soccer/2025/team/roy-hart/staff</t>
  </si>
  <si>
    <t>Jeff Hart</t>
  </si>
  <si>
    <t>Wilson HS</t>
  </si>
  <si>
    <t>Wilson, NY</t>
  </si>
  <si>
    <t>jhart@wilsoncsd.org</t>
  </si>
  <si>
    <t>League: Niagara-Orleans League. Source: https://highschoolsports.org/new-york/nysphsaa/section-6/girls-soccer/2025/team/wilson/staff</t>
  </si>
  <si>
    <t>Lee Dillenbeck</t>
  </si>
  <si>
    <t>Barker/Lyndonville HS (co-op)</t>
  </si>
  <si>
    <t>Barker/Lyndonville, NY</t>
  </si>
  <si>
    <t>ldillenbeck@lcsdk12.org</t>
  </si>
  <si>
    <t>League: Niagara-Orleans League. Source: https://highschoolsports.org/new-york/nysphsaa/section-6/girls-soccer/2025/team/barker-lyndonville/staff NOTE: Co-op program; Barker is Niagara Co., Lyndonville is Orleans Co.</t>
  </si>
  <si>
    <t>Kayode McKinnon</t>
  </si>
  <si>
    <t>Mount St. Mary Academy</t>
  </si>
  <si>
    <t>League: Monsignor Martin Athletic Assoc.. Source: https://www.mountsaintmary.org/athletics/mount-coaching-staff NOTE: Coach email/phone not listed publicly.</t>
  </si>
  <si>
    <t>M. Higgins (unconfirmed)</t>
  </si>
  <si>
    <t>Mount Mercy Academy</t>
  </si>
  <si>
    <t>League: Monsignor Martin Athletic Assoc.. Source: https://www.mtmercy.org/athletics NOTE: Coach name unconfirmed and no direct contact publicly listed; contact info given is for the Athletic Director instead.</t>
  </si>
  <si>
    <t>Frank Cotroneo</t>
  </si>
  <si>
    <t>Nardin Academy</t>
  </si>
  <si>
    <t>League: Monsignor Martin Athletic Assoc.. Source: https://www.maxpreps.com/ny/buffalo/nardin-academy-gators/soccer/girls/ NOTE: Coach email/phone not listed publicly.</t>
  </si>
  <si>
    <t>David Tredo</t>
  </si>
  <si>
    <t>Buffalo Academy of the Sacred Heart</t>
  </si>
  <si>
    <t>(716) 834-2101 (school main)</t>
  </si>
  <si>
    <t>League: Monsignor Martin Athletic Assoc.. Source: https://www.maxpreps.com/ny/buffalo/sacred-heart-academy-sharks/soccer/girls/ NOTE: Coach direct email not listed publicly.</t>
  </si>
  <si>
    <t>N. Nobrega</t>
  </si>
  <si>
    <t>Buffalo Seminary</t>
  </si>
  <si>
    <t>League: Monsignor Martin Athletic Assoc.. Source: https://www.maxpreps.com/high-schools/buffalo-seminary-red-tail-hawks-(buffalo,ny)/girls-soccer/home.htm NOTE: Coach email/phone not listed publicly.</t>
  </si>
  <si>
    <t>Robert (Rob) Walowitz</t>
  </si>
  <si>
    <t>Cardinal O'Hara HS</t>
  </si>
  <si>
    <t>president@gisoccerclub.org</t>
  </si>
  <si>
    <t>League: Monsignor Martin Athletic Assoc.. Source: https://www.cardinalohara.com/fall-athletics/ NOTE: Email domain looks like a soccer club/league address rather than the school - verify before relying on it.</t>
  </si>
  <si>
    <t>Brittany Heist</t>
  </si>
  <si>
    <t>St. Mary's High School</t>
  </si>
  <si>
    <t>bheist@smhlancers.org</t>
  </si>
  <si>
    <t>League: Monsignor Martin Athletic Assoc.. Source: https://www.smhlancers.org/lancer-coaches/</t>
  </si>
  <si>
    <t>Larry Desautels</t>
  </si>
  <si>
    <t>Nichols School</t>
  </si>
  <si>
    <t>(716) 332-6300 (school main)</t>
  </si>
  <si>
    <t>League: Monsignor Martin Athletic Assoc.. Source: https://www.maxpreps.com/ny/buffalo/nichols-vikings/soccer/girls/staff/ NOTE: Coach direct email not listed publicly.</t>
  </si>
  <si>
    <t>Jason Milne</t>
  </si>
  <si>
    <t>City Honors School</t>
  </si>
  <si>
    <t>League: Buffalo Public Schools. Source: https://www.maxpreps.com/ny/buffalo/city-honors-centaurs/soccer/girls/ NOTE: Coach email/phone not listed publicly.</t>
  </si>
  <si>
    <t>J. Folckemer</t>
  </si>
  <si>
    <t>Olmsted High School</t>
  </si>
  <si>
    <t>League: Buffalo Public Schools. Source: https://www.maxpreps.com/high-schools/olmsted-owls-(buffalo,ny)/girls-soccer/home.htm NOTE: Coach email/phone not listed publicly.</t>
  </si>
  <si>
    <t>OUTREACH DASHBOARD</t>
  </si>
  <si>
    <t>TOTAL CONTACTS</t>
  </si>
  <si>
    <t>WON CUSTOMERS</t>
  </si>
  <si>
    <t>ACTIVE PIPELINE</t>
  </si>
  <si>
    <t>FOLLOW-UPS DUE (7 DAYS)</t>
  </si>
  <si>
    <t>PIPELINE BY STATUS</t>
  </si>
  <si>
    <t>BY CONTACT TYPE</t>
  </si>
  <si>
    <t>Contacted</t>
  </si>
  <si>
    <t>Club Coach</t>
  </si>
  <si>
    <t>Parent</t>
  </si>
  <si>
    <t>Proposal Sent</t>
  </si>
  <si>
    <t>Recruiter/Scout</t>
  </si>
  <si>
    <t>Won - Customer</t>
  </si>
  <si>
    <t>Other</t>
  </si>
  <si>
    <t>Not Interested</t>
  </si>
  <si>
    <t>No Response</t>
  </si>
  <si>
    <t>BY PRIORITY</t>
  </si>
  <si>
    <t>Tip: filter the Outreach Tracker sheet by Status</t>
  </si>
  <si>
    <t>to build a quick call list before a session.</t>
  </si>
  <si>
    <t>Low</t>
  </si>
  <si>
    <t>HOW TO USE THIS TRACKER</t>
  </si>
  <si>
    <t>OVERVIEW</t>
  </si>
  <si>
    <t>Outreach Tracker tab</t>
  </si>
  <si>
    <t>Log every player, club, coach, or parent you reach out to — one row per contact. Contact Type, Outreach Method, Status, and Priority are dropdowns: click the cell and use the arrow.</t>
  </si>
  <si>
    <t>Dashboard tab</t>
  </si>
  <si>
    <t>Auto-updates as you fill in the tracker: total contacts, pipeline by status, breakdown by contact type and priority, and follow-ups due in the next 7 days.</t>
  </si>
  <si>
    <t>STATUS DEFINITIONS</t>
  </si>
  <si>
    <t>On your list, but you haven't reached out yet.</t>
  </si>
  <si>
    <t>First outreach sent (email, DM, call). Waiting to hear back.</t>
  </si>
  <si>
    <t>You've made contact but need to follow up again.</t>
  </si>
  <si>
    <t>They responded positively and want more info.</t>
  </si>
  <si>
    <t>A call or meeting is booked.</t>
  </si>
  <si>
    <t>You've sent pricing/details and are waiting on a decision.</t>
  </si>
  <si>
    <t>They signed up — active client.</t>
  </si>
  <si>
    <t>They declined. Keep for records / future re-outreach.</t>
  </si>
  <si>
    <t>Multiple attempts made, no reply.</t>
  </si>
  <si>
    <t>PRIORITY GUIDE</t>
  </si>
  <si>
    <t>Warm lead, close to a decision, or a high-value club/school with many athletes.</t>
  </si>
  <si>
    <t>Responsive but no clear timeline yet.</t>
  </si>
  <si>
    <t>Cold or long-shot contact — check in occasionally.</t>
  </si>
  <si>
    <t xml:space="preserve">ioakley@mtmercy.org </t>
  </si>
  <si>
    <t>716-825-8796 ext. 306 (AD Isabella Oakley)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</si>
</sst>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9.5"/>
      <color rgb="FF6B7280"/>
      <name val="Calibri"/>
      <family val="2"/>
    </font>
    <font>
      <b/>
      <sz val="10"/>
      <color rgb="FFFFFFFF"/>
      <name val="Calibri"/>
      <family val="2"/>
    </font>
    <font>
      <sz val="10.5"/>
      <name val="Calibri"/>
      <family val="2"/>
    </font>
    <font>
      <b/>
      <sz val="22"/>
      <color rgb="FFFFFFFF"/>
      <name val="Calibri"/>
      <family val="2"/>
    </font>
    <font>
      <b/>
      <sz val="9"/>
      <color rgb="FF6B7280"/>
      <name val="Calibri"/>
      <family val="2"/>
    </font>
    <font>
      <b/>
      <sz val="30"/>
      <color rgb="FFE8672A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20"/>
      <color rgb="FFFFFFFF"/>
      <name val="Calibri"/>
      <family val="2"/>
    </font>
    <font>
      <b/>
      <sz val="12"/>
      <color rgb="FFFFFFFF"/>
      <name val="Calibri"/>
      <family val="2"/>
    </font>
    <font>
      <b/>
      <sz val="10.5"/>
      <color rgb="FFE8672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7F8FA"/>
      </patternFill>
    </fill>
    <fill>
      <patternFill patternType="solid">
        <fgColor rgb="FFFFFFFF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E3E6EA"/>
      </bottom>
      <diagonal/>
    </border>
    <border>
      <left style="thin">
        <color rgb="FFE3E6EA"/>
      </left>
      <right/>
      <top/>
      <bottom style="thin">
        <color rgb="FFE3E6EA"/>
      </bottom>
      <diagonal/>
    </border>
    <border>
      <left/>
      <right style="thin">
        <color rgb="FFE3E6EA"/>
      </right>
      <top/>
      <bottom style="thin">
        <color rgb="FFE3E6EA"/>
      </bottom>
      <diagonal/>
    </border>
    <border>
      <left style="thin">
        <color rgb="FFE3E6EA"/>
      </left>
      <right/>
      <top/>
      <bottom style="thin">
        <color rgb="FFE3E6EA"/>
      </bottom>
      <diagonal/>
    </border>
    <border>
      <left/>
      <right style="thin">
        <color rgb="FFE3E6EA"/>
      </right>
      <top/>
      <bottom style="thin">
        <color rgb="FFE3E6EA"/>
      </bottom>
      <diagonal/>
    </border>
    <border>
      <left style="thin">
        <color rgb="FFE3E6EA"/>
      </left>
      <right style="thin">
        <color rgb="FFE3E6EA"/>
      </right>
      <top style="thin">
        <color rgb="FFE3E6EA"/>
      </top>
      <bottom/>
      <diagonal/>
    </border>
    <border>
      <left/>
      <right style="thin">
        <color rgb="FFE3E6EA"/>
      </right>
      <top style="thin">
        <color rgb="FFE3E6EA"/>
      </top>
      <bottom/>
      <diagonal/>
    </border>
    <border>
      <left/>
      <right/>
      <top/>
      <bottom style="medium">
        <color rgb="FFE8672A"/>
      </bottom>
      <diagonal/>
    </border>
    <border>
      <left style="thin">
        <color rgb="FFE3E6EA"/>
      </left>
      <right style="thin">
        <color rgb="FFE3E6EA"/>
      </right>
      <top style="medium">
        <color rgb="FFE8672A"/>
      </top>
      <bottom/>
      <diagonal/>
    </border>
    <border>
      <left/>
      <right style="thin">
        <color rgb="FFE3E6EA"/>
      </right>
      <top style="medium">
        <color rgb="FFE8672A"/>
      </top>
      <bottom/>
      <diagonal/>
    </border>
    <border>
      <left style="thin">
        <color rgb="FFE3E6EA"/>
      </left>
      <right style="thin">
        <color rgb="FFE3E6EA"/>
      </right>
      <top/>
      <bottom/>
      <diagonal/>
    </border>
    <border>
      <left style="thin">
        <color rgb="FFE3E6EA"/>
      </left>
      <right/>
      <top/>
      <bottom/>
      <diagonal/>
    </border>
    <border>
      <left/>
      <right style="thin">
        <color rgb="FFE3E6EA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4" borderId="4" xfId="0" applyFill="1" applyBorder="1"/>
    <xf numFmtId="0" fontId="0" fillId="4" borderId="5" xfId="0" applyFill="1" applyBorder="1"/>
    <xf numFmtId="0" fontId="9" fillId="0" borderId="2" xfId="0" applyFont="1" applyBorder="1"/>
    <xf numFmtId="0" fontId="10" fillId="0" borderId="3" xfId="0" applyFont="1" applyBorder="1" applyAlignment="1">
      <alignment horizontal="center"/>
    </xf>
    <xf numFmtId="0" fontId="2" fillId="0" borderId="0" xfId="0" applyFont="1"/>
    <xf numFmtId="0" fontId="13" fillId="0" borderId="0" xfId="0" applyFont="1"/>
    <xf numFmtId="0" fontId="4" fillId="0" borderId="0" xfId="0" applyFont="1" applyAlignment="1">
      <alignment vertical="top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/>
    <xf numFmtId="0" fontId="0" fillId="0" borderId="8" xfId="0" applyBorder="1"/>
    <xf numFmtId="0" fontId="8" fillId="2" borderId="6" xfId="0" applyFont="1" applyFill="1" applyBorder="1" applyAlignment="1">
      <alignment horizontal="left" vertical="center" indent="1"/>
    </xf>
    <xf numFmtId="0" fontId="0" fillId="0" borderId="7" xfId="0" applyBorder="1"/>
    <xf numFmtId="0" fontId="5" fillId="2" borderId="8" xfId="0" applyFont="1" applyFill="1" applyBorder="1" applyAlignment="1">
      <alignment horizontal="left" vertical="center" indent="1"/>
    </xf>
    <xf numFmtId="0" fontId="6" fillId="4" borderId="9" xfId="0" applyFont="1" applyFill="1" applyBorder="1" applyAlignment="1">
      <alignment horizontal="center" vertical="center"/>
    </xf>
    <xf numFmtId="0" fontId="0" fillId="0" borderId="10" xfId="0" applyBorder="1"/>
    <xf numFmtId="0" fontId="7" fillId="4" borderId="11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12" fillId="2" borderId="0" xfId="0" applyFont="1" applyFill="1" applyAlignment="1">
      <alignment horizontal="left" vertical="center" indent="1"/>
    </xf>
    <xf numFmtId="0" fontId="11" fillId="2" borderId="8" xfId="0" applyFont="1" applyFill="1" applyBorder="1" applyAlignment="1">
      <alignment horizontal="left" vertical="center" indent="1"/>
    </xf>
    <xf numFmtId="0" fontId="0" fillId="5" borderId="0" xfId="0" applyFill="1"/>
    <xf numFmtId="0" fontId="0" fillId="0" borderId="0" xfId="0" applyAlignment="1">
      <alignment horizontal="center"/>
    </xf>
    <xf numFmtId="0" fontId="1" fillId="2" borderId="14" xfId="0" applyFont="1" applyFill="1" applyBorder="1" applyAlignment="1">
      <alignment horizontal="left" vertical="center" indent="1"/>
    </xf>
    <xf numFmtId="0" fontId="0" fillId="0" borderId="14" xfId="0" applyBorder="1"/>
    <xf numFmtId="0" fontId="2" fillId="0" borderId="14" xfId="0" applyFont="1" applyBorder="1" applyAlignment="1">
      <alignment horizontal="left" vertical="center" inden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vertical="center"/>
    </xf>
    <xf numFmtId="164" fontId="4" fillId="5" borderId="14" xfId="0" applyNumberFormat="1" applyFont="1" applyFill="1" applyBorder="1" applyAlignment="1">
      <alignment vertical="center"/>
    </xf>
    <xf numFmtId="0" fontId="4" fillId="5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vertical="center"/>
    </xf>
    <xf numFmtId="164" fontId="4" fillId="3" borderId="14" xfId="0" applyNumberFormat="1" applyFont="1" applyFill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164" fontId="4" fillId="0" borderId="14" xfId="0" applyNumberFormat="1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/>
  </cellXfs>
  <cellStyles count="1">
    <cellStyle name="Normal" xfId="0" builtinId="0"/>
  </cellStyles>
  <dxfs count="12">
    <dxf>
      <font>
        <b/>
        <sz val="10.5"/>
        <color rgb="FF6B7280"/>
        <name val="Calibri"/>
      </font>
      <fill>
        <patternFill patternType="solid">
          <fgColor rgb="FFECECEC"/>
        </patternFill>
      </fill>
    </dxf>
    <dxf>
      <font>
        <b/>
        <sz val="10.5"/>
        <color rgb="FFB7791F"/>
        <name val="Calibri"/>
      </font>
      <fill>
        <patternFill patternType="solid">
          <fgColor rgb="FFFDF3D6"/>
        </patternFill>
      </fill>
    </dxf>
    <dxf>
      <font>
        <b/>
        <sz val="10.5"/>
        <color rgb="FFB03A3A"/>
        <name val="Calibri"/>
      </font>
      <fill>
        <patternFill patternType="solid">
          <fgColor rgb="FFFBE0E0"/>
        </patternFill>
      </fill>
    </dxf>
    <dxf>
      <font>
        <b/>
        <sz val="10.5"/>
        <color rgb="FF808080"/>
        <name val="Calibri"/>
      </font>
      <fill>
        <patternFill patternType="solid">
          <fgColor rgb="FFECECEC"/>
        </patternFill>
      </fill>
    </dxf>
    <dxf>
      <font>
        <b/>
        <sz val="10.5"/>
        <color rgb="FFB03A3A"/>
        <name val="Calibri"/>
      </font>
      <fill>
        <patternFill patternType="solid">
          <fgColor rgb="FFFBE0E0"/>
        </patternFill>
      </fill>
    </dxf>
    <dxf>
      <font>
        <b/>
        <sz val="10.5"/>
        <color rgb="FF1E7B34"/>
        <name val="Calibri"/>
      </font>
      <fill>
        <patternFill patternType="solid">
          <fgColor rgb="FFDDF0DD"/>
        </patternFill>
      </fill>
    </dxf>
    <dxf>
      <font>
        <b/>
        <sz val="10.5"/>
        <color rgb="FFC1541D"/>
        <name val="Calibri"/>
      </font>
      <fill>
        <patternFill patternType="solid">
          <fgColor rgb="FFFBE7DA"/>
        </patternFill>
      </fill>
    </dxf>
    <dxf>
      <font>
        <b/>
        <sz val="10.5"/>
        <color rgb="FF1D4E89"/>
        <name val="Calibri"/>
      </font>
      <fill>
        <patternFill patternType="solid">
          <fgColor rgb="FFDCEAFB"/>
        </patternFill>
      </fill>
    </dxf>
    <dxf>
      <font>
        <b/>
        <sz val="10.5"/>
        <color rgb="FF2F7D32"/>
        <name val="Calibri"/>
      </font>
      <fill>
        <patternFill patternType="solid">
          <fgColor rgb="FFE1F2E1"/>
        </patternFill>
      </fill>
    </dxf>
    <dxf>
      <font>
        <b/>
        <sz val="10.5"/>
        <color rgb="FFB7791F"/>
        <name val="Calibri"/>
      </font>
      <fill>
        <patternFill patternType="solid">
          <fgColor rgb="FFFDF3D6"/>
        </patternFill>
      </fill>
    </dxf>
    <dxf>
      <font>
        <b/>
        <sz val="10.5"/>
        <color rgb="FF2563AA"/>
        <name val="Calibri"/>
      </font>
      <fill>
        <patternFill patternType="solid">
          <fgColor rgb="FFDCEBFA"/>
        </patternFill>
      </fill>
    </dxf>
    <dxf>
      <font>
        <b/>
        <sz val="10.5"/>
        <color rgb="FF6B7280"/>
        <name val="Calibri"/>
      </font>
      <fill>
        <patternFill patternType="solid">
          <fgColor rgb="FFECEC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672A"/>
  </sheetPr>
  <dimension ref="A1:N27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3" width="15" customWidth="1"/>
    <col min="4" max="4" width="2" customWidth="1"/>
    <col min="5" max="6" width="15" customWidth="1"/>
    <col min="7" max="7" width="2" customWidth="1"/>
    <col min="8" max="9" width="15" customWidth="1"/>
    <col min="10" max="10" width="2" customWidth="1"/>
    <col min="11" max="12" width="15" customWidth="1"/>
    <col min="13" max="14" width="2" customWidth="1"/>
  </cols>
  <sheetData>
    <row r="1" spans="1:14" ht="10" customHeight="1" x14ac:dyDescent="0.2">
      <c r="A1" s="14" t="s">
        <v>267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6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8" customHeight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spans="1:14" ht="20" customHeight="1" x14ac:dyDescent="0.2">
      <c r="B5" s="15" t="s">
        <v>268</v>
      </c>
      <c r="C5" s="16"/>
      <c r="E5" s="15" t="s">
        <v>269</v>
      </c>
      <c r="F5" s="16"/>
      <c r="H5" s="15" t="s">
        <v>270</v>
      </c>
      <c r="I5" s="16"/>
      <c r="K5" s="15" t="s">
        <v>271</v>
      </c>
      <c r="L5" s="16"/>
    </row>
    <row r="6" spans="1:14" x14ac:dyDescent="0.2">
      <c r="B6" s="17">
        <f>COUNTA('Outreach Tracker'!$A$5:$A$148)</f>
        <v>50</v>
      </c>
      <c r="C6" s="18"/>
      <c r="E6" s="17">
        <f>COUNTIF('Outreach Tracker'!$N$5:$N$148,"Won - Customer")</f>
        <v>0</v>
      </c>
      <c r="F6" s="18"/>
      <c r="H6" s="17">
        <f>COUNTIF('Outreach Tracker'!$N$5:$N$148,"Interested")+COUNTIF('Outreach Tracker'!$N$5:$N$148,"Meeting Scheduled")+COUNTIF('Outreach Tracker'!$N$5:$N$148,"Proposal Sent")</f>
        <v>2</v>
      </c>
      <c r="I6" s="18"/>
      <c r="K6" s="17">
        <f ca="1">SUMPRODUCT(('Outreach Tracker'!$P$5:$P$148&lt;&gt;"")*('Outreach Tracker'!$P$5:$P$148&lt;=TODAY()+7)*(('Outreach Tracker'!$N$5:$N$148&lt;&gt;"Won - Customer")*('Outreach Tracker'!$N$5:$N$148&lt;&gt;"Not Interested")))</f>
        <v>2</v>
      </c>
      <c r="L6" s="18"/>
    </row>
    <row r="7" spans="1:14" x14ac:dyDescent="0.2">
      <c r="B7" s="19"/>
      <c r="C7" s="18"/>
      <c r="E7" s="19"/>
      <c r="F7" s="18"/>
      <c r="H7" s="19"/>
      <c r="I7" s="18"/>
      <c r="K7" s="19"/>
      <c r="L7" s="18"/>
    </row>
    <row r="8" spans="1:14" x14ac:dyDescent="0.2">
      <c r="B8" s="19"/>
      <c r="C8" s="18"/>
      <c r="E8" s="19"/>
      <c r="F8" s="18"/>
      <c r="H8" s="19"/>
      <c r="I8" s="18"/>
      <c r="K8" s="19"/>
      <c r="L8" s="18"/>
    </row>
    <row r="9" spans="1:14" x14ac:dyDescent="0.2">
      <c r="B9" s="1"/>
      <c r="C9" s="2"/>
      <c r="E9" s="1"/>
      <c r="F9" s="2"/>
      <c r="H9" s="1"/>
      <c r="I9" s="2"/>
      <c r="K9" s="1"/>
      <c r="L9" s="2"/>
    </row>
    <row r="12" spans="1:14" x14ac:dyDescent="0.2">
      <c r="B12" s="12" t="s">
        <v>272</v>
      </c>
      <c r="C12" s="13"/>
      <c r="E12" s="12" t="s">
        <v>273</v>
      </c>
      <c r="F12" s="13"/>
    </row>
    <row r="13" spans="1:14" x14ac:dyDescent="0.2">
      <c r="B13" s="3" t="s">
        <v>57</v>
      </c>
      <c r="C13" s="4">
        <f>COUNTIF('Outreach Tracker'!$N$5:$N$148,"Not Contacted")</f>
        <v>47</v>
      </c>
      <c r="E13" s="3" t="s">
        <v>23</v>
      </c>
      <c r="F13" s="4">
        <f>COUNTIF('Outreach Tracker'!$D$5:$D$148,"Player")</f>
        <v>1</v>
      </c>
    </row>
    <row r="14" spans="1:14" x14ac:dyDescent="0.2">
      <c r="B14" s="3" t="s">
        <v>274</v>
      </c>
      <c r="C14" s="4">
        <f>COUNTIF('Outreach Tracker'!$N$5:$N$148,"Contacted")</f>
        <v>0</v>
      </c>
      <c r="E14" s="3" t="s">
        <v>44</v>
      </c>
      <c r="F14" s="4">
        <f>COUNTIF('Outreach Tracker'!$D$5:$D$148,"Club")</f>
        <v>1</v>
      </c>
    </row>
    <row r="15" spans="1:14" x14ac:dyDescent="0.2">
      <c r="B15" s="3" t="s">
        <v>40</v>
      </c>
      <c r="C15" s="4">
        <f>COUNTIF('Outreach Tracker'!$N$5:$N$148,"Follow-Up Needed")</f>
        <v>1</v>
      </c>
      <c r="E15" s="3" t="s">
        <v>35</v>
      </c>
      <c r="F15" s="4">
        <f>COUNTIF('Outreach Tracker'!$D$5:$D$148,"High School Coach")</f>
        <v>48</v>
      </c>
    </row>
    <row r="16" spans="1:14" x14ac:dyDescent="0.2">
      <c r="B16" s="3" t="s">
        <v>31</v>
      </c>
      <c r="C16" s="4">
        <f>COUNTIF('Outreach Tracker'!$N$5:$N$148,"Interested")</f>
        <v>1</v>
      </c>
      <c r="E16" s="3" t="s">
        <v>275</v>
      </c>
      <c r="F16" s="4">
        <f>COUNTIF('Outreach Tracker'!$D$5:$D$148,"Club Coach")</f>
        <v>0</v>
      </c>
    </row>
    <row r="17" spans="2:6" x14ac:dyDescent="0.2">
      <c r="B17" s="3" t="s">
        <v>50</v>
      </c>
      <c r="C17" s="4">
        <f>COUNTIF('Outreach Tracker'!$N$5:$N$148,"Meeting Scheduled")</f>
        <v>1</v>
      </c>
      <c r="E17" s="3" t="s">
        <v>276</v>
      </c>
      <c r="F17" s="4">
        <f>COUNTIF('Outreach Tracker'!$D$5:$D$148,"Parent")</f>
        <v>0</v>
      </c>
    </row>
    <row r="18" spans="2:6" x14ac:dyDescent="0.2">
      <c r="B18" s="3" t="s">
        <v>277</v>
      </c>
      <c r="C18" s="4">
        <f>COUNTIF('Outreach Tracker'!$N$5:$N$148,"Proposal Sent")</f>
        <v>0</v>
      </c>
      <c r="E18" s="3" t="s">
        <v>278</v>
      </c>
      <c r="F18" s="4">
        <f>COUNTIF('Outreach Tracker'!$D$5:$D$148,"Recruiter/Scout")</f>
        <v>0</v>
      </c>
    </row>
    <row r="19" spans="2:6" x14ac:dyDescent="0.2">
      <c r="B19" s="3" t="s">
        <v>279</v>
      </c>
      <c r="C19" s="4">
        <f>COUNTIF('Outreach Tracker'!$N$5:$N$148,"Won - Customer")</f>
        <v>0</v>
      </c>
      <c r="E19" s="3" t="s">
        <v>280</v>
      </c>
      <c r="F19" s="4">
        <f>COUNTIF('Outreach Tracker'!$D$5:$D$148,"Other")</f>
        <v>0</v>
      </c>
    </row>
    <row r="20" spans="2:6" x14ac:dyDescent="0.2">
      <c r="B20" s="3" t="s">
        <v>281</v>
      </c>
      <c r="C20" s="4">
        <f>COUNTIF('Outreach Tracker'!$N$5:$N$148,"Not Interested")</f>
        <v>0</v>
      </c>
    </row>
    <row r="21" spans="2:6" x14ac:dyDescent="0.2">
      <c r="B21" s="3" t="s">
        <v>282</v>
      </c>
      <c r="C21" s="4">
        <f>COUNTIF('Outreach Tracker'!$N$5:$N$148,"No Response")</f>
        <v>0</v>
      </c>
    </row>
    <row r="24" spans="2:6" x14ac:dyDescent="0.2">
      <c r="B24" s="12" t="s">
        <v>283</v>
      </c>
      <c r="C24" s="13"/>
      <c r="E24" s="5" t="s">
        <v>284</v>
      </c>
    </row>
    <row r="25" spans="2:6" x14ac:dyDescent="0.2">
      <c r="B25" s="3" t="s">
        <v>32</v>
      </c>
      <c r="C25" s="4">
        <f>COUNTIF('Outreach Tracker'!$R$5:$R$148,"High")</f>
        <v>2</v>
      </c>
      <c r="E25" s="5" t="s">
        <v>285</v>
      </c>
    </row>
    <row r="26" spans="2:6" x14ac:dyDescent="0.2">
      <c r="B26" s="3" t="s">
        <v>41</v>
      </c>
      <c r="C26" s="4">
        <f>COUNTIF('Outreach Tracker'!$R$5:$R$148,"Medium")</f>
        <v>1</v>
      </c>
    </row>
    <row r="27" spans="2:6" x14ac:dyDescent="0.2">
      <c r="B27" s="3" t="s">
        <v>286</v>
      </c>
      <c r="C27" s="4">
        <f>COUNTIF('Outreach Tracker'!$R$5:$R$148,"Low")</f>
        <v>0</v>
      </c>
    </row>
  </sheetData>
  <mergeCells count="12">
    <mergeCell ref="E12:F12"/>
    <mergeCell ref="B24:C24"/>
    <mergeCell ref="A1:N3"/>
    <mergeCell ref="B5:C5"/>
    <mergeCell ref="E5:F5"/>
    <mergeCell ref="K5:L5"/>
    <mergeCell ref="H5:I5"/>
    <mergeCell ref="K6:L8"/>
    <mergeCell ref="B6:C8"/>
    <mergeCell ref="E6:F8"/>
    <mergeCell ref="H6:I8"/>
    <mergeCell ref="B12:C12"/>
  </mergeCells>
  <conditionalFormatting sqref="C13:C21">
    <cfRule type="dataBar" priority="1">
      <dataBar>
        <cfvo type="num" val="0"/>
        <cfvo type="max"/>
        <color rgb="FFE8672A"/>
      </dataBar>
    </cfRule>
  </conditionalFormatting>
  <conditionalFormatting sqref="C25:C27">
    <cfRule type="dataBar" priority="3">
      <dataBar>
        <cfvo type="num" val="0"/>
        <cfvo type="max"/>
        <color rgb="FFB03A3A"/>
      </dataBar>
    </cfRule>
  </conditionalFormatting>
  <conditionalFormatting sqref="F13:F19">
    <cfRule type="dataBar" priority="2">
      <dataBar>
        <cfvo type="num" val="0"/>
        <cfvo type="max"/>
        <color rgb="FF1D4E89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T148"/>
  <sheetViews>
    <sheetView showGridLines="0" tabSelected="1" zoomScale="85" workbookViewId="0">
      <pane ySplit="4" topLeftCell="A5" activePane="bottomLeft" state="frozen"/>
      <selection pane="bottomLeft" activeCell="S13" sqref="S13"/>
    </sheetView>
  </sheetViews>
  <sheetFormatPr baseColWidth="10" defaultColWidth="8.83203125" defaultRowHeight="15" x14ac:dyDescent="0.2"/>
  <cols>
    <col min="1" max="1" width="6" style="38" customWidth="1"/>
    <col min="2" max="2" width="13" style="38" customWidth="1"/>
    <col min="3" max="3" width="33.6640625" style="38" customWidth="1"/>
    <col min="4" max="4" width="16.83203125" style="38" customWidth="1"/>
    <col min="5" max="5" width="36.5" style="38" customWidth="1"/>
    <col min="6" max="6" width="10" style="39" customWidth="1"/>
    <col min="7" max="7" width="13" style="38" customWidth="1"/>
    <col min="8" max="8" width="19.33203125" style="38" customWidth="1"/>
    <col min="9" max="9" width="41.5" style="38" customWidth="1"/>
    <col min="10" max="10" width="33.83203125" style="38" customWidth="1"/>
    <col min="11" max="11" width="20" style="38" customWidth="1"/>
    <col min="12" max="13" width="16" style="38" customWidth="1"/>
    <col min="14" max="14" width="17" style="38" customWidth="1"/>
    <col min="15" max="16" width="13" style="38" customWidth="1"/>
    <col min="17" max="17" width="11" style="39" customWidth="1"/>
    <col min="18" max="18" width="10" style="38" customWidth="1"/>
    <col min="19" max="19" width="15" style="38" customWidth="1"/>
    <col min="20" max="20" width="179.6640625" style="40" customWidth="1"/>
  </cols>
  <sheetData>
    <row r="1" spans="1:20" ht="8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30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ht="20" customHeight="1" x14ac:dyDescent="0.2">
      <c r="A3" s="26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s="23" customFormat="1" ht="30" customHeight="1" x14ac:dyDescent="0.2">
      <c r="A4" s="27" t="s">
        <v>2</v>
      </c>
      <c r="B4" s="27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14</v>
      </c>
      <c r="N4" s="27" t="s">
        <v>15</v>
      </c>
      <c r="O4" s="27" t="s">
        <v>16</v>
      </c>
      <c r="P4" s="27" t="s">
        <v>17</v>
      </c>
      <c r="Q4" s="27" t="s">
        <v>18</v>
      </c>
      <c r="R4" s="27" t="s">
        <v>19</v>
      </c>
      <c r="S4" s="27" t="s">
        <v>20</v>
      </c>
      <c r="T4" s="28" t="s">
        <v>21</v>
      </c>
    </row>
    <row r="5" spans="1:20" s="22" customFormat="1" ht="18" customHeight="1" x14ac:dyDescent="0.2">
      <c r="A5" s="29">
        <v>1</v>
      </c>
      <c r="B5" s="30">
        <v>46174</v>
      </c>
      <c r="C5" s="29" t="s">
        <v>22</v>
      </c>
      <c r="D5" s="29" t="s">
        <v>23</v>
      </c>
      <c r="E5" s="29" t="s">
        <v>24</v>
      </c>
      <c r="F5" s="31">
        <v>2027</v>
      </c>
      <c r="G5" s="29" t="s">
        <v>25</v>
      </c>
      <c r="H5" s="29" t="s">
        <v>26</v>
      </c>
      <c r="I5" s="29" t="s">
        <v>27</v>
      </c>
      <c r="J5" s="29" t="s">
        <v>28</v>
      </c>
      <c r="K5" s="29" t="s">
        <v>29</v>
      </c>
      <c r="L5" s="29" t="s">
        <v>30</v>
      </c>
      <c r="M5" s="29" t="s">
        <v>30</v>
      </c>
      <c r="N5" s="29" t="s">
        <v>31</v>
      </c>
      <c r="O5" s="30">
        <v>46193</v>
      </c>
      <c r="P5" s="30">
        <v>46218</v>
      </c>
      <c r="Q5" s="31">
        <v>3</v>
      </c>
      <c r="R5" s="29" t="s">
        <v>32</v>
      </c>
      <c r="S5" s="29"/>
      <c r="T5" s="29" t="s">
        <v>33</v>
      </c>
    </row>
    <row r="6" spans="1:20" s="22" customFormat="1" ht="18" customHeight="1" x14ac:dyDescent="0.2">
      <c r="A6" s="29">
        <v>2</v>
      </c>
      <c r="B6" s="30">
        <v>46178</v>
      </c>
      <c r="C6" s="29" t="s">
        <v>34</v>
      </c>
      <c r="D6" s="29" t="s">
        <v>35</v>
      </c>
      <c r="E6" s="29" t="s">
        <v>36</v>
      </c>
      <c r="F6" s="31"/>
      <c r="G6" s="29"/>
      <c r="H6" s="29" t="s">
        <v>37</v>
      </c>
      <c r="I6" s="29" t="s">
        <v>38</v>
      </c>
      <c r="J6" s="29" t="s">
        <v>39</v>
      </c>
      <c r="K6" s="29"/>
      <c r="L6" s="29" t="s">
        <v>10</v>
      </c>
      <c r="M6" s="29" t="s">
        <v>10</v>
      </c>
      <c r="N6" s="29" t="s">
        <v>40</v>
      </c>
      <c r="O6" s="30">
        <v>46178</v>
      </c>
      <c r="P6" s="30">
        <v>46215</v>
      </c>
      <c r="Q6" s="31">
        <v>1</v>
      </c>
      <c r="R6" s="29" t="s">
        <v>41</v>
      </c>
      <c r="S6" s="29"/>
      <c r="T6" s="29" t="s">
        <v>42</v>
      </c>
    </row>
    <row r="7" spans="1:20" s="22" customFormat="1" ht="18" customHeight="1" x14ac:dyDescent="0.2">
      <c r="A7" s="29">
        <v>3</v>
      </c>
      <c r="B7" s="30">
        <v>46183</v>
      </c>
      <c r="C7" s="29" t="s">
        <v>43</v>
      </c>
      <c r="D7" s="29" t="s">
        <v>44</v>
      </c>
      <c r="E7" s="29" t="s">
        <v>45</v>
      </c>
      <c r="F7" s="31"/>
      <c r="G7" s="29"/>
      <c r="H7" s="29" t="s">
        <v>26</v>
      </c>
      <c r="I7" s="29" t="s">
        <v>46</v>
      </c>
      <c r="J7" s="29" t="s">
        <v>47</v>
      </c>
      <c r="K7" s="29" t="s">
        <v>48</v>
      </c>
      <c r="L7" s="29" t="s">
        <v>49</v>
      </c>
      <c r="M7" s="29" t="s">
        <v>49</v>
      </c>
      <c r="N7" s="29" t="s">
        <v>50</v>
      </c>
      <c r="O7" s="30">
        <v>46204</v>
      </c>
      <c r="P7" s="30">
        <v>46221</v>
      </c>
      <c r="Q7" s="31">
        <v>4</v>
      </c>
      <c r="R7" s="29" t="s">
        <v>32</v>
      </c>
      <c r="S7" s="29" t="s">
        <v>22</v>
      </c>
      <c r="T7" s="29" t="s">
        <v>51</v>
      </c>
    </row>
    <row r="8" spans="1:20" ht="18" customHeight="1" x14ac:dyDescent="0.2">
      <c r="A8" s="32">
        <v>4</v>
      </c>
      <c r="B8" s="33"/>
      <c r="C8" s="32" t="s">
        <v>52</v>
      </c>
      <c r="D8" s="32" t="s">
        <v>35</v>
      </c>
      <c r="E8" s="32" t="s">
        <v>53</v>
      </c>
      <c r="F8" s="34"/>
      <c r="G8" s="32"/>
      <c r="H8" s="32" t="s">
        <v>54</v>
      </c>
      <c r="I8" s="32" t="s">
        <v>55</v>
      </c>
      <c r="J8" s="32"/>
      <c r="K8" s="32"/>
      <c r="L8" s="32" t="s">
        <v>56</v>
      </c>
      <c r="M8" s="32"/>
      <c r="N8" s="32" t="s">
        <v>57</v>
      </c>
      <c r="O8" s="33"/>
      <c r="P8" s="33"/>
      <c r="Q8" s="34">
        <v>0</v>
      </c>
      <c r="R8" s="32"/>
      <c r="S8" s="32"/>
      <c r="T8" s="32" t="s">
        <v>58</v>
      </c>
    </row>
    <row r="9" spans="1:20" ht="18" customHeight="1" x14ac:dyDescent="0.2">
      <c r="A9" s="35">
        <v>5</v>
      </c>
      <c r="B9" s="36"/>
      <c r="C9" s="35" t="s">
        <v>59</v>
      </c>
      <c r="D9" s="35" t="s">
        <v>35</v>
      </c>
      <c r="E9" s="35" t="s">
        <v>60</v>
      </c>
      <c r="F9" s="37"/>
      <c r="G9" s="35"/>
      <c r="H9" s="35" t="s">
        <v>61</v>
      </c>
      <c r="I9" s="35" t="s">
        <v>62</v>
      </c>
      <c r="J9" s="35"/>
      <c r="K9" s="35"/>
      <c r="L9" s="35" t="s">
        <v>56</v>
      </c>
      <c r="M9" s="35"/>
      <c r="N9" s="35" t="s">
        <v>57</v>
      </c>
      <c r="O9" s="36"/>
      <c r="P9" s="36"/>
      <c r="Q9" s="37">
        <v>0</v>
      </c>
      <c r="R9" s="35"/>
      <c r="S9" s="35"/>
      <c r="T9" s="35" t="s">
        <v>63</v>
      </c>
    </row>
    <row r="10" spans="1:20" ht="18" customHeight="1" x14ac:dyDescent="0.2">
      <c r="A10" s="32">
        <v>6</v>
      </c>
      <c r="B10" s="33"/>
      <c r="C10" s="32" t="s">
        <v>64</v>
      </c>
      <c r="D10" s="32" t="s">
        <v>35</v>
      </c>
      <c r="E10" s="32" t="s">
        <v>65</v>
      </c>
      <c r="F10" s="34"/>
      <c r="G10" s="32"/>
      <c r="H10" s="32" t="s">
        <v>66</v>
      </c>
      <c r="I10" s="32" t="s">
        <v>67</v>
      </c>
      <c r="J10" s="32"/>
      <c r="K10" s="32"/>
      <c r="L10" s="32" t="s">
        <v>56</v>
      </c>
      <c r="M10" s="32"/>
      <c r="N10" s="32" t="s">
        <v>57</v>
      </c>
      <c r="O10" s="33"/>
      <c r="P10" s="33"/>
      <c r="Q10" s="34">
        <v>0</v>
      </c>
      <c r="R10" s="32"/>
      <c r="S10" s="32"/>
      <c r="T10" s="32" t="s">
        <v>68</v>
      </c>
    </row>
    <row r="11" spans="1:20" ht="18" customHeight="1" x14ac:dyDescent="0.2">
      <c r="A11" s="35">
        <v>7</v>
      </c>
      <c r="B11" s="36"/>
      <c r="C11" s="35" t="s">
        <v>69</v>
      </c>
      <c r="D11" s="35" t="s">
        <v>35</v>
      </c>
      <c r="E11" s="35" t="s">
        <v>70</v>
      </c>
      <c r="F11" s="37"/>
      <c r="G11" s="35"/>
      <c r="H11" s="35" t="s">
        <v>71</v>
      </c>
      <c r="I11" s="35" t="s">
        <v>72</v>
      </c>
      <c r="J11" s="35" t="s">
        <v>73</v>
      </c>
      <c r="K11" s="35"/>
      <c r="L11" s="35" t="s">
        <v>56</v>
      </c>
      <c r="M11" s="35"/>
      <c r="N11" s="35" t="s">
        <v>57</v>
      </c>
      <c r="O11" s="36"/>
      <c r="P11" s="36"/>
      <c r="Q11" s="37">
        <v>0</v>
      </c>
      <c r="R11" s="35"/>
      <c r="S11" s="35"/>
      <c r="T11" s="35" t="s">
        <v>74</v>
      </c>
    </row>
    <row r="12" spans="1:20" ht="18" customHeight="1" x14ac:dyDescent="0.2">
      <c r="A12" s="32">
        <v>8</v>
      </c>
      <c r="B12" s="33"/>
      <c r="C12" s="32" t="s">
        <v>75</v>
      </c>
      <c r="D12" s="32" t="s">
        <v>35</v>
      </c>
      <c r="E12" s="32" t="s">
        <v>76</v>
      </c>
      <c r="F12" s="34"/>
      <c r="G12" s="32"/>
      <c r="H12" s="32" t="s">
        <v>77</v>
      </c>
      <c r="I12" s="32" t="s">
        <v>78</v>
      </c>
      <c r="J12" s="32"/>
      <c r="K12" s="32"/>
      <c r="L12" s="32" t="s">
        <v>56</v>
      </c>
      <c r="M12" s="32"/>
      <c r="N12" s="32" t="s">
        <v>57</v>
      </c>
      <c r="O12" s="33"/>
      <c r="P12" s="33"/>
      <c r="Q12" s="34">
        <v>0</v>
      </c>
      <c r="R12" s="32"/>
      <c r="S12" s="32"/>
      <c r="T12" s="32" t="s">
        <v>79</v>
      </c>
    </row>
    <row r="13" spans="1:20" ht="18" customHeight="1" x14ac:dyDescent="0.2">
      <c r="A13" s="35">
        <v>9</v>
      </c>
      <c r="B13" s="36"/>
      <c r="C13" s="35" t="s">
        <v>80</v>
      </c>
      <c r="D13" s="35" t="s">
        <v>35</v>
      </c>
      <c r="E13" s="35" t="s">
        <v>81</v>
      </c>
      <c r="F13" s="37"/>
      <c r="G13" s="35"/>
      <c r="H13" s="35" t="s">
        <v>82</v>
      </c>
      <c r="I13" s="35" t="s">
        <v>83</v>
      </c>
      <c r="J13" s="35" t="s">
        <v>84</v>
      </c>
      <c r="K13" s="35"/>
      <c r="L13" s="35" t="s">
        <v>56</v>
      </c>
      <c r="M13" s="35"/>
      <c r="N13" s="35" t="s">
        <v>57</v>
      </c>
      <c r="O13" s="36"/>
      <c r="P13" s="36"/>
      <c r="Q13" s="37">
        <v>0</v>
      </c>
      <c r="R13" s="35"/>
      <c r="S13" s="35"/>
      <c r="T13" s="35" t="s">
        <v>85</v>
      </c>
    </row>
    <row r="14" spans="1:20" ht="18" customHeight="1" x14ac:dyDescent="0.2">
      <c r="A14" s="32">
        <v>10</v>
      </c>
      <c r="B14" s="33"/>
      <c r="C14" s="32" t="s">
        <v>86</v>
      </c>
      <c r="D14" s="32" t="s">
        <v>35</v>
      </c>
      <c r="E14" s="32" t="s">
        <v>87</v>
      </c>
      <c r="F14" s="34"/>
      <c r="G14" s="32"/>
      <c r="H14" s="32" t="s">
        <v>82</v>
      </c>
      <c r="I14" s="32" t="s">
        <v>88</v>
      </c>
      <c r="J14" s="32"/>
      <c r="K14" s="32"/>
      <c r="L14" s="32" t="s">
        <v>56</v>
      </c>
      <c r="M14" s="32"/>
      <c r="N14" s="32" t="s">
        <v>57</v>
      </c>
      <c r="O14" s="33"/>
      <c r="P14" s="33"/>
      <c r="Q14" s="34">
        <v>0</v>
      </c>
      <c r="R14" s="32"/>
      <c r="S14" s="32"/>
      <c r="T14" s="32" t="s">
        <v>89</v>
      </c>
    </row>
    <row r="15" spans="1:20" ht="18" customHeight="1" x14ac:dyDescent="0.2">
      <c r="A15" s="35">
        <v>11</v>
      </c>
      <c r="B15" s="36"/>
      <c r="C15" s="35" t="s">
        <v>90</v>
      </c>
      <c r="D15" s="35" t="s">
        <v>35</v>
      </c>
      <c r="E15" s="35" t="s">
        <v>91</v>
      </c>
      <c r="F15" s="37"/>
      <c r="G15" s="35"/>
      <c r="H15" s="35" t="s">
        <v>61</v>
      </c>
      <c r="I15" s="35" t="s">
        <v>92</v>
      </c>
      <c r="J15" s="35"/>
      <c r="K15" s="35"/>
      <c r="L15" s="35" t="s">
        <v>56</v>
      </c>
      <c r="M15" s="35"/>
      <c r="N15" s="35" t="s">
        <v>57</v>
      </c>
      <c r="O15" s="36"/>
      <c r="P15" s="36"/>
      <c r="Q15" s="37">
        <v>0</v>
      </c>
      <c r="R15" s="35"/>
      <c r="S15" s="35"/>
      <c r="T15" s="35" t="s">
        <v>93</v>
      </c>
    </row>
    <row r="16" spans="1:20" ht="18" customHeight="1" x14ac:dyDescent="0.2">
      <c r="A16" s="32">
        <v>12</v>
      </c>
      <c r="B16" s="33"/>
      <c r="C16" s="32" t="s">
        <v>94</v>
      </c>
      <c r="D16" s="32" t="s">
        <v>35</v>
      </c>
      <c r="E16" s="32" t="s">
        <v>95</v>
      </c>
      <c r="F16" s="34"/>
      <c r="G16" s="32"/>
      <c r="H16" s="32" t="s">
        <v>185</v>
      </c>
      <c r="I16" s="32"/>
      <c r="J16" s="32"/>
      <c r="K16" s="32"/>
      <c r="L16" s="32" t="s">
        <v>56</v>
      </c>
      <c r="M16" s="32"/>
      <c r="N16" s="32" t="s">
        <v>57</v>
      </c>
      <c r="O16" s="33"/>
      <c r="P16" s="33"/>
      <c r="Q16" s="34">
        <v>0</v>
      </c>
      <c r="R16" s="32"/>
      <c r="S16" s="32"/>
      <c r="T16" s="32" t="s">
        <v>96</v>
      </c>
    </row>
    <row r="17" spans="1:20" ht="18" customHeight="1" x14ac:dyDescent="0.2">
      <c r="A17" s="35">
        <v>13</v>
      </c>
      <c r="B17" s="36"/>
      <c r="C17" s="35" t="s">
        <v>97</v>
      </c>
      <c r="D17" s="35" t="s">
        <v>35</v>
      </c>
      <c r="E17" s="35" t="s">
        <v>98</v>
      </c>
      <c r="F17" s="37"/>
      <c r="G17" s="35"/>
      <c r="H17" s="35" t="s">
        <v>82</v>
      </c>
      <c r="I17" s="35" t="s">
        <v>99</v>
      </c>
      <c r="J17" s="35"/>
      <c r="K17" s="35"/>
      <c r="L17" s="35" t="s">
        <v>56</v>
      </c>
      <c r="M17" s="35"/>
      <c r="N17" s="35" t="s">
        <v>57</v>
      </c>
      <c r="O17" s="36"/>
      <c r="P17" s="36"/>
      <c r="Q17" s="37">
        <v>0</v>
      </c>
      <c r="R17" s="35"/>
      <c r="S17" s="35"/>
      <c r="T17" s="35" t="s">
        <v>100</v>
      </c>
    </row>
    <row r="18" spans="1:20" ht="18" customHeight="1" x14ac:dyDescent="0.2">
      <c r="A18" s="32">
        <v>14</v>
      </c>
      <c r="B18" s="33"/>
      <c r="C18" s="32" t="s">
        <v>101</v>
      </c>
      <c r="D18" s="32" t="s">
        <v>35</v>
      </c>
      <c r="E18" s="32" t="s">
        <v>102</v>
      </c>
      <c r="F18" s="34"/>
      <c r="G18" s="32"/>
      <c r="H18" s="32" t="s">
        <v>103</v>
      </c>
      <c r="I18" s="32" t="s">
        <v>104</v>
      </c>
      <c r="J18" s="32"/>
      <c r="K18" s="32"/>
      <c r="L18" s="32" t="s">
        <v>56</v>
      </c>
      <c r="M18" s="32"/>
      <c r="N18" s="32" t="s">
        <v>57</v>
      </c>
      <c r="O18" s="33"/>
      <c r="P18" s="33"/>
      <c r="Q18" s="34">
        <v>0</v>
      </c>
      <c r="R18" s="32"/>
      <c r="S18" s="32"/>
      <c r="T18" s="32" t="s">
        <v>105</v>
      </c>
    </row>
    <row r="19" spans="1:20" ht="18" customHeight="1" x14ac:dyDescent="0.2">
      <c r="A19" s="35">
        <v>15</v>
      </c>
      <c r="B19" s="36"/>
      <c r="C19" s="35" t="s">
        <v>106</v>
      </c>
      <c r="D19" s="35" t="s">
        <v>35</v>
      </c>
      <c r="E19" s="35" t="s">
        <v>107</v>
      </c>
      <c r="F19" s="37"/>
      <c r="G19" s="35"/>
      <c r="H19" s="35" t="s">
        <v>82</v>
      </c>
      <c r="I19" s="35" t="s">
        <v>108</v>
      </c>
      <c r="J19" s="35"/>
      <c r="K19" s="35"/>
      <c r="L19" s="35" t="s">
        <v>56</v>
      </c>
      <c r="M19" s="35"/>
      <c r="N19" s="35" t="s">
        <v>57</v>
      </c>
      <c r="O19" s="36"/>
      <c r="P19" s="36"/>
      <c r="Q19" s="37">
        <v>0</v>
      </c>
      <c r="R19" s="35"/>
      <c r="S19" s="35"/>
      <c r="T19" s="35" t="s">
        <v>109</v>
      </c>
    </row>
    <row r="20" spans="1:20" ht="18" customHeight="1" x14ac:dyDescent="0.2">
      <c r="A20" s="32">
        <v>16</v>
      </c>
      <c r="B20" s="33"/>
      <c r="C20" s="32" t="s">
        <v>110</v>
      </c>
      <c r="D20" s="32" t="s">
        <v>35</v>
      </c>
      <c r="E20" s="32" t="s">
        <v>111</v>
      </c>
      <c r="F20" s="34"/>
      <c r="G20" s="32"/>
      <c r="H20" s="32" t="s">
        <v>112</v>
      </c>
      <c r="I20" s="32" t="s">
        <v>113</v>
      </c>
      <c r="J20" s="32"/>
      <c r="K20" s="32"/>
      <c r="L20" s="32" t="s">
        <v>56</v>
      </c>
      <c r="M20" s="32"/>
      <c r="N20" s="32" t="s">
        <v>57</v>
      </c>
      <c r="O20" s="33"/>
      <c r="P20" s="33"/>
      <c r="Q20" s="34">
        <v>0</v>
      </c>
      <c r="R20" s="32"/>
      <c r="S20" s="32"/>
      <c r="T20" s="32" t="s">
        <v>114</v>
      </c>
    </row>
    <row r="21" spans="1:20" ht="18" customHeight="1" x14ac:dyDescent="0.2">
      <c r="A21" s="35">
        <v>17</v>
      </c>
      <c r="B21" s="36"/>
      <c r="C21" s="35" t="s">
        <v>115</v>
      </c>
      <c r="D21" s="35" t="s">
        <v>35</v>
      </c>
      <c r="E21" s="35" t="s">
        <v>116</v>
      </c>
      <c r="F21" s="37"/>
      <c r="G21" s="35"/>
      <c r="H21" s="35" t="s">
        <v>117</v>
      </c>
      <c r="I21" s="35" t="s">
        <v>118</v>
      </c>
      <c r="J21" s="35"/>
      <c r="K21" s="35"/>
      <c r="L21" s="35" t="s">
        <v>56</v>
      </c>
      <c r="M21" s="35"/>
      <c r="N21" s="35" t="s">
        <v>57</v>
      </c>
      <c r="O21" s="36"/>
      <c r="P21" s="36"/>
      <c r="Q21" s="37">
        <v>0</v>
      </c>
      <c r="R21" s="35"/>
      <c r="S21" s="35"/>
      <c r="T21" s="35" t="s">
        <v>119</v>
      </c>
    </row>
    <row r="22" spans="1:20" ht="18" customHeight="1" x14ac:dyDescent="0.2">
      <c r="A22" s="32">
        <v>18</v>
      </c>
      <c r="B22" s="33"/>
      <c r="C22" s="32" t="s">
        <v>120</v>
      </c>
      <c r="D22" s="32" t="s">
        <v>35</v>
      </c>
      <c r="E22" s="32" t="s">
        <v>121</v>
      </c>
      <c r="F22" s="34"/>
      <c r="G22" s="32"/>
      <c r="H22" s="32" t="s">
        <v>122</v>
      </c>
      <c r="I22" s="32" t="s">
        <v>123</v>
      </c>
      <c r="J22" s="32"/>
      <c r="K22" s="32"/>
      <c r="L22" s="32" t="s">
        <v>56</v>
      </c>
      <c r="M22" s="32"/>
      <c r="N22" s="32" t="s">
        <v>57</v>
      </c>
      <c r="O22" s="33"/>
      <c r="P22" s="33"/>
      <c r="Q22" s="34">
        <v>0</v>
      </c>
      <c r="R22" s="32"/>
      <c r="S22" s="32"/>
      <c r="T22" s="32" t="s">
        <v>124</v>
      </c>
    </row>
    <row r="23" spans="1:20" ht="18" customHeight="1" x14ac:dyDescent="0.2">
      <c r="A23" s="35">
        <v>19</v>
      </c>
      <c r="B23" s="36"/>
      <c r="C23" s="35" t="s">
        <v>125</v>
      </c>
      <c r="D23" s="35" t="s">
        <v>35</v>
      </c>
      <c r="E23" s="35" t="s">
        <v>126</v>
      </c>
      <c r="F23" s="37"/>
      <c r="G23" s="35"/>
      <c r="H23" s="35" t="s">
        <v>127</v>
      </c>
      <c r="I23" s="35" t="s">
        <v>128</v>
      </c>
      <c r="J23" s="35"/>
      <c r="K23" s="35"/>
      <c r="L23" s="35" t="s">
        <v>56</v>
      </c>
      <c r="M23" s="35"/>
      <c r="N23" s="35" t="s">
        <v>57</v>
      </c>
      <c r="O23" s="36"/>
      <c r="P23" s="36"/>
      <c r="Q23" s="37">
        <v>0</v>
      </c>
      <c r="R23" s="35"/>
      <c r="S23" s="35"/>
      <c r="T23" s="35" t="s">
        <v>129</v>
      </c>
    </row>
    <row r="24" spans="1:20" ht="18" customHeight="1" x14ac:dyDescent="0.2">
      <c r="A24" s="32">
        <v>20</v>
      </c>
      <c r="B24" s="33"/>
      <c r="C24" s="32" t="s">
        <v>130</v>
      </c>
      <c r="D24" s="32" t="s">
        <v>35</v>
      </c>
      <c r="E24" s="32" t="s">
        <v>131</v>
      </c>
      <c r="F24" s="34"/>
      <c r="G24" s="32"/>
      <c r="H24" s="32" t="s">
        <v>132</v>
      </c>
      <c r="I24" s="32" t="s">
        <v>133</v>
      </c>
      <c r="J24" s="32"/>
      <c r="K24" s="32"/>
      <c r="L24" s="32" t="s">
        <v>56</v>
      </c>
      <c r="M24" s="32"/>
      <c r="N24" s="32" t="s">
        <v>57</v>
      </c>
      <c r="O24" s="33"/>
      <c r="P24" s="33"/>
      <c r="Q24" s="34">
        <v>0</v>
      </c>
      <c r="R24" s="32"/>
      <c r="S24" s="32"/>
      <c r="T24" s="32" t="s">
        <v>134</v>
      </c>
    </row>
    <row r="25" spans="1:20" ht="18" customHeight="1" x14ac:dyDescent="0.2">
      <c r="A25" s="35">
        <v>21</v>
      </c>
      <c r="B25" s="36"/>
      <c r="C25" s="35" t="s">
        <v>135</v>
      </c>
      <c r="D25" s="35" t="s">
        <v>35</v>
      </c>
      <c r="E25" s="35" t="s">
        <v>136</v>
      </c>
      <c r="F25" s="37"/>
      <c r="G25" s="35"/>
      <c r="H25" s="35" t="s">
        <v>137</v>
      </c>
      <c r="I25" s="35" t="s">
        <v>138</v>
      </c>
      <c r="J25" s="35"/>
      <c r="K25" s="35"/>
      <c r="L25" s="35" t="s">
        <v>56</v>
      </c>
      <c r="M25" s="35"/>
      <c r="N25" s="35" t="s">
        <v>57</v>
      </c>
      <c r="O25" s="36"/>
      <c r="P25" s="36"/>
      <c r="Q25" s="37">
        <v>0</v>
      </c>
      <c r="R25" s="35"/>
      <c r="S25" s="35"/>
      <c r="T25" s="35" t="s">
        <v>139</v>
      </c>
    </row>
    <row r="26" spans="1:20" ht="18" customHeight="1" x14ac:dyDescent="0.2">
      <c r="A26" s="32">
        <v>22</v>
      </c>
      <c r="B26" s="33"/>
      <c r="C26" s="32" t="s">
        <v>140</v>
      </c>
      <c r="D26" s="32" t="s">
        <v>35</v>
      </c>
      <c r="E26" s="32" t="s">
        <v>141</v>
      </c>
      <c r="F26" s="34"/>
      <c r="G26" s="32"/>
      <c r="H26" s="32" t="s">
        <v>142</v>
      </c>
      <c r="I26" s="32" t="s">
        <v>143</v>
      </c>
      <c r="J26" s="32"/>
      <c r="K26" s="32"/>
      <c r="L26" s="32" t="s">
        <v>56</v>
      </c>
      <c r="M26" s="32"/>
      <c r="N26" s="32" t="s">
        <v>57</v>
      </c>
      <c r="O26" s="33"/>
      <c r="P26" s="33"/>
      <c r="Q26" s="34">
        <v>0</v>
      </c>
      <c r="R26" s="32"/>
      <c r="S26" s="32"/>
      <c r="T26" s="32" t="s">
        <v>144</v>
      </c>
    </row>
    <row r="27" spans="1:20" ht="18" customHeight="1" x14ac:dyDescent="0.2">
      <c r="A27" s="35">
        <v>23</v>
      </c>
      <c r="B27" s="36"/>
      <c r="C27" s="35" t="s">
        <v>145</v>
      </c>
      <c r="D27" s="35" t="s">
        <v>35</v>
      </c>
      <c r="E27" s="35" t="s">
        <v>146</v>
      </c>
      <c r="F27" s="37"/>
      <c r="G27" s="35"/>
      <c r="H27" s="35" t="s">
        <v>147</v>
      </c>
      <c r="I27" s="35" t="s">
        <v>148</v>
      </c>
      <c r="J27" s="35"/>
      <c r="K27" s="35"/>
      <c r="L27" s="35" t="s">
        <v>56</v>
      </c>
      <c r="M27" s="35"/>
      <c r="N27" s="35" t="s">
        <v>57</v>
      </c>
      <c r="O27" s="36"/>
      <c r="P27" s="36"/>
      <c r="Q27" s="37">
        <v>0</v>
      </c>
      <c r="R27" s="35"/>
      <c r="S27" s="35"/>
      <c r="T27" s="35" t="s">
        <v>149</v>
      </c>
    </row>
    <row r="28" spans="1:20" ht="18" customHeight="1" x14ac:dyDescent="0.2">
      <c r="A28" s="32">
        <v>24</v>
      </c>
      <c r="B28" s="33"/>
      <c r="C28" s="32" t="s">
        <v>150</v>
      </c>
      <c r="D28" s="32" t="s">
        <v>35</v>
      </c>
      <c r="E28" s="32" t="s">
        <v>151</v>
      </c>
      <c r="F28" s="34"/>
      <c r="G28" s="32"/>
      <c r="H28" s="32" t="s">
        <v>132</v>
      </c>
      <c r="I28" s="32" t="s">
        <v>152</v>
      </c>
      <c r="J28" s="32"/>
      <c r="K28" s="32"/>
      <c r="L28" s="32" t="s">
        <v>56</v>
      </c>
      <c r="M28" s="32"/>
      <c r="N28" s="32" t="s">
        <v>57</v>
      </c>
      <c r="O28" s="33"/>
      <c r="P28" s="33"/>
      <c r="Q28" s="34">
        <v>0</v>
      </c>
      <c r="R28" s="32"/>
      <c r="S28" s="32"/>
      <c r="T28" s="32" t="s">
        <v>153</v>
      </c>
    </row>
    <row r="29" spans="1:20" ht="18" customHeight="1" x14ac:dyDescent="0.2">
      <c r="A29" s="35">
        <v>25</v>
      </c>
      <c r="B29" s="36"/>
      <c r="C29" s="35" t="s">
        <v>154</v>
      </c>
      <c r="D29" s="35" t="s">
        <v>35</v>
      </c>
      <c r="E29" s="35" t="s">
        <v>155</v>
      </c>
      <c r="F29" s="37"/>
      <c r="G29" s="35"/>
      <c r="H29" s="35" t="s">
        <v>156</v>
      </c>
      <c r="I29" s="35" t="s">
        <v>157</v>
      </c>
      <c r="J29" s="35"/>
      <c r="K29" s="35"/>
      <c r="L29" s="35" t="s">
        <v>56</v>
      </c>
      <c r="M29" s="35"/>
      <c r="N29" s="35" t="s">
        <v>57</v>
      </c>
      <c r="O29" s="36"/>
      <c r="P29" s="36"/>
      <c r="Q29" s="37">
        <v>0</v>
      </c>
      <c r="R29" s="35"/>
      <c r="S29" s="35"/>
      <c r="T29" s="35" t="s">
        <v>158</v>
      </c>
    </row>
    <row r="30" spans="1:20" ht="18" customHeight="1" x14ac:dyDescent="0.2">
      <c r="A30" s="32">
        <v>26</v>
      </c>
      <c r="B30" s="33"/>
      <c r="C30" s="32" t="s">
        <v>159</v>
      </c>
      <c r="D30" s="32" t="s">
        <v>35</v>
      </c>
      <c r="E30" s="32" t="s">
        <v>160</v>
      </c>
      <c r="F30" s="34"/>
      <c r="G30" s="32"/>
      <c r="H30" s="32" t="s">
        <v>161</v>
      </c>
      <c r="I30" s="32" t="s">
        <v>162</v>
      </c>
      <c r="J30" s="32"/>
      <c r="K30" s="32"/>
      <c r="L30" s="32" t="s">
        <v>56</v>
      </c>
      <c r="M30" s="32"/>
      <c r="N30" s="32" t="s">
        <v>57</v>
      </c>
      <c r="O30" s="33"/>
      <c r="P30" s="33"/>
      <c r="Q30" s="34">
        <v>0</v>
      </c>
      <c r="R30" s="32"/>
      <c r="S30" s="32"/>
      <c r="T30" s="32" t="s">
        <v>163</v>
      </c>
    </row>
    <row r="31" spans="1:20" ht="18" customHeight="1" x14ac:dyDescent="0.2">
      <c r="A31" s="35">
        <v>27</v>
      </c>
      <c r="B31" s="36"/>
      <c r="C31" s="35" t="s">
        <v>164</v>
      </c>
      <c r="D31" s="35" t="s">
        <v>35</v>
      </c>
      <c r="E31" s="35" t="s">
        <v>165</v>
      </c>
      <c r="F31" s="37"/>
      <c r="G31" s="35"/>
      <c r="H31" s="35" t="s">
        <v>166</v>
      </c>
      <c r="I31" s="35" t="s">
        <v>167</v>
      </c>
      <c r="J31" s="35"/>
      <c r="K31" s="35"/>
      <c r="L31" s="35" t="s">
        <v>56</v>
      </c>
      <c r="M31" s="35"/>
      <c r="N31" s="35" t="s">
        <v>57</v>
      </c>
      <c r="O31" s="36"/>
      <c r="P31" s="36"/>
      <c r="Q31" s="37">
        <v>0</v>
      </c>
      <c r="R31" s="35"/>
      <c r="S31" s="35"/>
      <c r="T31" s="35" t="s">
        <v>168</v>
      </c>
    </row>
    <row r="32" spans="1:20" ht="18" customHeight="1" x14ac:dyDescent="0.2">
      <c r="A32" s="32">
        <v>28</v>
      </c>
      <c r="B32" s="33"/>
      <c r="C32" s="32" t="s">
        <v>169</v>
      </c>
      <c r="D32" s="32" t="s">
        <v>35</v>
      </c>
      <c r="E32" s="32" t="s">
        <v>170</v>
      </c>
      <c r="F32" s="34"/>
      <c r="G32" s="32"/>
      <c r="H32" s="32" t="s">
        <v>171</v>
      </c>
      <c r="I32" s="32" t="s">
        <v>172</v>
      </c>
      <c r="J32" s="32"/>
      <c r="K32" s="32"/>
      <c r="L32" s="32" t="s">
        <v>56</v>
      </c>
      <c r="M32" s="32"/>
      <c r="N32" s="32" t="s">
        <v>57</v>
      </c>
      <c r="O32" s="33"/>
      <c r="P32" s="33"/>
      <c r="Q32" s="34">
        <v>0</v>
      </c>
      <c r="R32" s="32"/>
      <c r="S32" s="32"/>
      <c r="T32" s="32" t="s">
        <v>173</v>
      </c>
    </row>
    <row r="33" spans="1:20" ht="18" customHeight="1" x14ac:dyDescent="0.2">
      <c r="A33" s="35">
        <v>29</v>
      </c>
      <c r="B33" s="36"/>
      <c r="C33" s="35" t="s">
        <v>174</v>
      </c>
      <c r="D33" s="35" t="s">
        <v>35</v>
      </c>
      <c r="E33" s="35" t="s">
        <v>175</v>
      </c>
      <c r="F33" s="37"/>
      <c r="G33" s="35"/>
      <c r="H33" s="35" t="s">
        <v>171</v>
      </c>
      <c r="I33" s="35" t="s">
        <v>176</v>
      </c>
      <c r="J33" s="35"/>
      <c r="K33" s="35"/>
      <c r="L33" s="35" t="s">
        <v>56</v>
      </c>
      <c r="M33" s="35"/>
      <c r="N33" s="35" t="s">
        <v>57</v>
      </c>
      <c r="O33" s="36"/>
      <c r="P33" s="36"/>
      <c r="Q33" s="37">
        <v>0</v>
      </c>
      <c r="R33" s="35"/>
      <c r="S33" s="35"/>
      <c r="T33" s="35" t="s">
        <v>177</v>
      </c>
    </row>
    <row r="34" spans="1:20" ht="18" customHeight="1" x14ac:dyDescent="0.2">
      <c r="A34" s="32">
        <v>30</v>
      </c>
      <c r="B34" s="33"/>
      <c r="C34" s="32" t="s">
        <v>178</v>
      </c>
      <c r="D34" s="32" t="s">
        <v>35</v>
      </c>
      <c r="E34" s="32" t="s">
        <v>179</v>
      </c>
      <c r="F34" s="34"/>
      <c r="G34" s="32"/>
      <c r="H34" s="32" t="s">
        <v>180</v>
      </c>
      <c r="I34" s="32" t="s">
        <v>181</v>
      </c>
      <c r="J34" s="32"/>
      <c r="K34" s="32"/>
      <c r="L34" s="32" t="s">
        <v>56</v>
      </c>
      <c r="M34" s="32"/>
      <c r="N34" s="32" t="s">
        <v>57</v>
      </c>
      <c r="O34" s="33"/>
      <c r="P34" s="33"/>
      <c r="Q34" s="34">
        <v>0</v>
      </c>
      <c r="R34" s="32"/>
      <c r="S34" s="32"/>
      <c r="T34" s="32" t="s">
        <v>182</v>
      </c>
    </row>
    <row r="35" spans="1:20" ht="18" customHeight="1" x14ac:dyDescent="0.2">
      <c r="A35" s="35">
        <v>31</v>
      </c>
      <c r="B35" s="36"/>
      <c r="C35" s="35" t="s">
        <v>183</v>
      </c>
      <c r="D35" s="35" t="s">
        <v>35</v>
      </c>
      <c r="E35" s="35" t="s">
        <v>184</v>
      </c>
      <c r="F35" s="37"/>
      <c r="G35" s="35"/>
      <c r="H35" s="35" t="s">
        <v>185</v>
      </c>
      <c r="I35" s="35" t="s">
        <v>186</v>
      </c>
      <c r="J35" s="35"/>
      <c r="K35" s="35"/>
      <c r="L35" s="35" t="s">
        <v>56</v>
      </c>
      <c r="M35" s="35"/>
      <c r="N35" s="35" t="s">
        <v>57</v>
      </c>
      <c r="O35" s="36"/>
      <c r="P35" s="36"/>
      <c r="Q35" s="37">
        <v>0</v>
      </c>
      <c r="R35" s="35"/>
      <c r="S35" s="35"/>
      <c r="T35" s="35" t="s">
        <v>187</v>
      </c>
    </row>
    <row r="36" spans="1:20" ht="18" customHeight="1" x14ac:dyDescent="0.2">
      <c r="A36" s="32">
        <v>32</v>
      </c>
      <c r="B36" s="33"/>
      <c r="C36" s="32" t="s">
        <v>188</v>
      </c>
      <c r="D36" s="32" t="s">
        <v>35</v>
      </c>
      <c r="E36" s="32" t="s">
        <v>189</v>
      </c>
      <c r="F36" s="34"/>
      <c r="G36" s="32"/>
      <c r="H36" s="32" t="s">
        <v>190</v>
      </c>
      <c r="I36" s="32" t="s">
        <v>191</v>
      </c>
      <c r="J36" s="32"/>
      <c r="K36" s="32"/>
      <c r="L36" s="32" t="s">
        <v>56</v>
      </c>
      <c r="M36" s="32"/>
      <c r="N36" s="32" t="s">
        <v>57</v>
      </c>
      <c r="O36" s="33"/>
      <c r="P36" s="33"/>
      <c r="Q36" s="34">
        <v>0</v>
      </c>
      <c r="R36" s="32"/>
      <c r="S36" s="32"/>
      <c r="T36" s="32" t="s">
        <v>192</v>
      </c>
    </row>
    <row r="37" spans="1:20" ht="18" customHeight="1" x14ac:dyDescent="0.2">
      <c r="A37" s="35">
        <v>33</v>
      </c>
      <c r="B37" s="36"/>
      <c r="C37" s="35" t="s">
        <v>193</v>
      </c>
      <c r="D37" s="35" t="s">
        <v>35</v>
      </c>
      <c r="E37" s="35" t="s">
        <v>194</v>
      </c>
      <c r="F37" s="37"/>
      <c r="G37" s="35"/>
      <c r="H37" s="35" t="s">
        <v>195</v>
      </c>
      <c r="I37" s="35" t="s">
        <v>196</v>
      </c>
      <c r="J37" s="35"/>
      <c r="K37" s="35"/>
      <c r="L37" s="35" t="s">
        <v>56</v>
      </c>
      <c r="M37" s="35"/>
      <c r="N37" s="35" t="s">
        <v>57</v>
      </c>
      <c r="O37" s="36"/>
      <c r="P37" s="36"/>
      <c r="Q37" s="37">
        <v>0</v>
      </c>
      <c r="R37" s="35"/>
      <c r="S37" s="35"/>
      <c r="T37" s="35" t="s">
        <v>197</v>
      </c>
    </row>
    <row r="38" spans="1:20" ht="18" customHeight="1" x14ac:dyDescent="0.2">
      <c r="A38" s="32">
        <v>34</v>
      </c>
      <c r="B38" s="33"/>
      <c r="C38" s="32" t="s">
        <v>198</v>
      </c>
      <c r="D38" s="32" t="s">
        <v>35</v>
      </c>
      <c r="E38" s="32" t="s">
        <v>199</v>
      </c>
      <c r="F38" s="34"/>
      <c r="G38" s="32"/>
      <c r="H38" s="32" t="s">
        <v>200</v>
      </c>
      <c r="I38" s="32" t="s">
        <v>201</v>
      </c>
      <c r="J38" s="32"/>
      <c r="K38" s="32"/>
      <c r="L38" s="32" t="s">
        <v>56</v>
      </c>
      <c r="M38" s="32"/>
      <c r="N38" s="32" t="s">
        <v>57</v>
      </c>
      <c r="O38" s="33"/>
      <c r="P38" s="33"/>
      <c r="Q38" s="34">
        <v>0</v>
      </c>
      <c r="R38" s="32"/>
      <c r="S38" s="32"/>
      <c r="T38" s="32" t="s">
        <v>202</v>
      </c>
    </row>
    <row r="39" spans="1:20" ht="18" customHeight="1" x14ac:dyDescent="0.2">
      <c r="A39" s="35">
        <v>35</v>
      </c>
      <c r="B39" s="36"/>
      <c r="C39" s="35" t="s">
        <v>203</v>
      </c>
      <c r="D39" s="35" t="s">
        <v>35</v>
      </c>
      <c r="E39" s="35" t="s">
        <v>204</v>
      </c>
      <c r="F39" s="37"/>
      <c r="G39" s="35"/>
      <c r="H39" s="35" t="s">
        <v>205</v>
      </c>
      <c r="I39" s="35" t="s">
        <v>206</v>
      </c>
      <c r="J39" s="35"/>
      <c r="K39" s="35"/>
      <c r="L39" s="35" t="s">
        <v>56</v>
      </c>
      <c r="M39" s="35"/>
      <c r="N39" s="35" t="s">
        <v>57</v>
      </c>
      <c r="O39" s="36"/>
      <c r="P39" s="36"/>
      <c r="Q39" s="37">
        <v>0</v>
      </c>
      <c r="R39" s="35"/>
      <c r="S39" s="35"/>
      <c r="T39" s="35" t="s">
        <v>207</v>
      </c>
    </row>
    <row r="40" spans="1:20" ht="18" customHeight="1" x14ac:dyDescent="0.2">
      <c r="A40" s="32">
        <v>36</v>
      </c>
      <c r="B40" s="33"/>
      <c r="C40" s="32" t="s">
        <v>208</v>
      </c>
      <c r="D40" s="32" t="s">
        <v>35</v>
      </c>
      <c r="E40" s="32" t="s">
        <v>209</v>
      </c>
      <c r="F40" s="34"/>
      <c r="G40" s="32"/>
      <c r="H40" s="32" t="s">
        <v>210</v>
      </c>
      <c r="I40" s="32" t="s">
        <v>211</v>
      </c>
      <c r="J40" s="32"/>
      <c r="K40" s="32"/>
      <c r="L40" s="32" t="s">
        <v>56</v>
      </c>
      <c r="M40" s="32"/>
      <c r="N40" s="32" t="s">
        <v>57</v>
      </c>
      <c r="O40" s="33"/>
      <c r="P40" s="33"/>
      <c r="Q40" s="34">
        <v>0</v>
      </c>
      <c r="R40" s="32"/>
      <c r="S40" s="32"/>
      <c r="T40" s="32" t="s">
        <v>212</v>
      </c>
    </row>
    <row r="41" spans="1:20" ht="18" customHeight="1" x14ac:dyDescent="0.2">
      <c r="A41" s="35">
        <v>37</v>
      </c>
      <c r="B41" s="36"/>
      <c r="C41" s="35" t="s">
        <v>213</v>
      </c>
      <c r="D41" s="35" t="s">
        <v>35</v>
      </c>
      <c r="E41" s="35" t="s">
        <v>214</v>
      </c>
      <c r="F41" s="37"/>
      <c r="G41" s="35"/>
      <c r="H41" s="35" t="s">
        <v>215</v>
      </c>
      <c r="I41" s="35" t="s">
        <v>216</v>
      </c>
      <c r="J41" s="35"/>
      <c r="K41" s="35"/>
      <c r="L41" s="35" t="s">
        <v>56</v>
      </c>
      <c r="M41" s="35"/>
      <c r="N41" s="35" t="s">
        <v>57</v>
      </c>
      <c r="O41" s="36"/>
      <c r="P41" s="36"/>
      <c r="Q41" s="37">
        <v>0</v>
      </c>
      <c r="R41" s="35"/>
      <c r="S41" s="35"/>
      <c r="T41" s="35" t="s">
        <v>217</v>
      </c>
    </row>
    <row r="42" spans="1:20" ht="18" customHeight="1" x14ac:dyDescent="0.2">
      <c r="A42" s="32">
        <v>38</v>
      </c>
      <c r="B42" s="33"/>
      <c r="C42" s="32" t="s">
        <v>218</v>
      </c>
      <c r="D42" s="32" t="s">
        <v>35</v>
      </c>
      <c r="E42" s="32" t="s">
        <v>219</v>
      </c>
      <c r="F42" s="34"/>
      <c r="G42" s="32"/>
      <c r="H42" s="32" t="s">
        <v>220</v>
      </c>
      <c r="I42" s="32" t="s">
        <v>221</v>
      </c>
      <c r="J42" s="32"/>
      <c r="K42" s="32"/>
      <c r="L42" s="32" t="s">
        <v>56</v>
      </c>
      <c r="M42" s="32"/>
      <c r="N42" s="32" t="s">
        <v>57</v>
      </c>
      <c r="O42" s="33"/>
      <c r="P42" s="33"/>
      <c r="Q42" s="34">
        <v>0</v>
      </c>
      <c r="R42" s="32"/>
      <c r="S42" s="32"/>
      <c r="T42" s="32" t="s">
        <v>222</v>
      </c>
    </row>
    <row r="43" spans="1:20" ht="18" customHeight="1" x14ac:dyDescent="0.2">
      <c r="A43" s="35">
        <v>39</v>
      </c>
      <c r="B43" s="36"/>
      <c r="C43" s="35" t="s">
        <v>223</v>
      </c>
      <c r="D43" s="35" t="s">
        <v>35</v>
      </c>
      <c r="E43" s="35" t="s">
        <v>224</v>
      </c>
      <c r="F43" s="37"/>
      <c r="G43" s="35"/>
      <c r="H43" s="35" t="s">
        <v>225</v>
      </c>
      <c r="I43" s="35" t="s">
        <v>226</v>
      </c>
      <c r="J43" s="35"/>
      <c r="K43" s="35"/>
      <c r="L43" s="35" t="s">
        <v>56</v>
      </c>
      <c r="M43" s="35"/>
      <c r="N43" s="35" t="s">
        <v>57</v>
      </c>
      <c r="O43" s="36"/>
      <c r="P43" s="36"/>
      <c r="Q43" s="37">
        <v>0</v>
      </c>
      <c r="R43" s="35"/>
      <c r="S43" s="35"/>
      <c r="T43" s="35" t="s">
        <v>227</v>
      </c>
    </row>
    <row r="44" spans="1:20" ht="18" customHeight="1" x14ac:dyDescent="0.2">
      <c r="A44" s="32">
        <v>40</v>
      </c>
      <c r="B44" s="33"/>
      <c r="C44" s="32" t="s">
        <v>228</v>
      </c>
      <c r="D44" s="32" t="s">
        <v>35</v>
      </c>
      <c r="E44" s="32" t="s">
        <v>229</v>
      </c>
      <c r="F44" s="34"/>
      <c r="G44" s="32"/>
      <c r="H44" s="32" t="s">
        <v>230</v>
      </c>
      <c r="I44" s="32" t="s">
        <v>231</v>
      </c>
      <c r="J44" s="32"/>
      <c r="K44" s="32"/>
      <c r="L44" s="32" t="s">
        <v>56</v>
      </c>
      <c r="M44" s="32"/>
      <c r="N44" s="32" t="s">
        <v>57</v>
      </c>
      <c r="O44" s="33"/>
      <c r="P44" s="33"/>
      <c r="Q44" s="34">
        <v>0</v>
      </c>
      <c r="R44" s="32"/>
      <c r="S44" s="32"/>
      <c r="T44" s="32" t="s">
        <v>232</v>
      </c>
    </row>
    <row r="45" spans="1:20" ht="18" customHeight="1" x14ac:dyDescent="0.2">
      <c r="A45" s="35">
        <v>41</v>
      </c>
      <c r="B45" s="36"/>
      <c r="C45" s="35" t="s">
        <v>233</v>
      </c>
      <c r="D45" s="35" t="s">
        <v>35</v>
      </c>
      <c r="E45" s="35" t="s">
        <v>234</v>
      </c>
      <c r="F45" s="37"/>
      <c r="G45" s="35"/>
      <c r="H45" s="35" t="s">
        <v>171</v>
      </c>
      <c r="I45" s="35"/>
      <c r="J45" s="35"/>
      <c r="K45" s="35"/>
      <c r="L45" s="35" t="s">
        <v>56</v>
      </c>
      <c r="M45" s="35"/>
      <c r="N45" s="35" t="s">
        <v>57</v>
      </c>
      <c r="O45" s="36"/>
      <c r="P45" s="36"/>
      <c r="Q45" s="37">
        <v>0</v>
      </c>
      <c r="R45" s="35"/>
      <c r="S45" s="35"/>
      <c r="T45" s="35" t="s">
        <v>235</v>
      </c>
    </row>
    <row r="46" spans="1:20" ht="18" customHeight="1" x14ac:dyDescent="0.2">
      <c r="A46" s="32">
        <v>42</v>
      </c>
      <c r="B46" s="33"/>
      <c r="C46" s="32" t="s">
        <v>236</v>
      </c>
      <c r="D46" s="32" t="s">
        <v>35</v>
      </c>
      <c r="E46" s="32" t="s">
        <v>237</v>
      </c>
      <c r="F46" s="34"/>
      <c r="G46" s="32"/>
      <c r="H46" s="32" t="s">
        <v>205</v>
      </c>
      <c r="I46" s="32" t="s">
        <v>307</v>
      </c>
      <c r="J46" s="32" t="s">
        <v>308</v>
      </c>
      <c r="K46" s="32"/>
      <c r="L46" s="32" t="s">
        <v>56</v>
      </c>
      <c r="M46" s="32"/>
      <c r="N46" s="32" t="s">
        <v>57</v>
      </c>
      <c r="O46" s="33"/>
      <c r="P46" s="33"/>
      <c r="Q46" s="34">
        <v>0</v>
      </c>
      <c r="R46" s="32"/>
      <c r="S46" s="32"/>
      <c r="T46" s="32" t="s">
        <v>238</v>
      </c>
    </row>
    <row r="47" spans="1:20" ht="18" customHeight="1" x14ac:dyDescent="0.2">
      <c r="A47" s="35">
        <v>43</v>
      </c>
      <c r="B47" s="36"/>
      <c r="C47" s="35" t="s">
        <v>239</v>
      </c>
      <c r="D47" s="35" t="s">
        <v>35</v>
      </c>
      <c r="E47" s="35" t="s">
        <v>240</v>
      </c>
      <c r="F47" s="37"/>
      <c r="G47" s="35"/>
      <c r="H47" s="35" t="s">
        <v>205</v>
      </c>
      <c r="I47" s="35"/>
      <c r="J47" s="35"/>
      <c r="K47" s="35"/>
      <c r="L47" s="35" t="s">
        <v>56</v>
      </c>
      <c r="M47" s="35"/>
      <c r="N47" s="35" t="s">
        <v>57</v>
      </c>
      <c r="O47" s="36"/>
      <c r="P47" s="36"/>
      <c r="Q47" s="37">
        <v>0</v>
      </c>
      <c r="R47" s="35"/>
      <c r="S47" s="35"/>
      <c r="T47" s="35" t="s">
        <v>241</v>
      </c>
    </row>
    <row r="48" spans="1:20" ht="18" customHeight="1" x14ac:dyDescent="0.2">
      <c r="A48" s="32">
        <v>44</v>
      </c>
      <c r="B48" s="33"/>
      <c r="C48" s="32" t="s">
        <v>242</v>
      </c>
      <c r="D48" s="32" t="s">
        <v>35</v>
      </c>
      <c r="E48" s="32" t="s">
        <v>243</v>
      </c>
      <c r="F48" s="34"/>
      <c r="G48" s="32"/>
      <c r="H48" s="32" t="s">
        <v>205</v>
      </c>
      <c r="I48" s="32"/>
      <c r="J48" s="32" t="s">
        <v>244</v>
      </c>
      <c r="K48" s="32"/>
      <c r="L48" s="32" t="s">
        <v>56</v>
      </c>
      <c r="M48" s="32"/>
      <c r="N48" s="32" t="s">
        <v>57</v>
      </c>
      <c r="O48" s="33"/>
      <c r="P48" s="33"/>
      <c r="Q48" s="34">
        <v>0</v>
      </c>
      <c r="R48" s="32"/>
      <c r="S48" s="32"/>
      <c r="T48" s="32" t="s">
        <v>245</v>
      </c>
    </row>
    <row r="49" spans="1:20" ht="18" customHeight="1" x14ac:dyDescent="0.2">
      <c r="A49" s="35">
        <v>45</v>
      </c>
      <c r="B49" s="36"/>
      <c r="C49" s="35" t="s">
        <v>246</v>
      </c>
      <c r="D49" s="35" t="s">
        <v>35</v>
      </c>
      <c r="E49" s="35" t="s">
        <v>247</v>
      </c>
      <c r="F49" s="37"/>
      <c r="G49" s="35"/>
      <c r="H49" s="35" t="s">
        <v>205</v>
      </c>
      <c r="I49" s="35"/>
      <c r="J49" s="35"/>
      <c r="K49" s="35"/>
      <c r="L49" s="35" t="s">
        <v>56</v>
      </c>
      <c r="M49" s="35"/>
      <c r="N49" s="35" t="s">
        <v>57</v>
      </c>
      <c r="O49" s="36"/>
      <c r="P49" s="36"/>
      <c r="Q49" s="37">
        <v>0</v>
      </c>
      <c r="R49" s="35"/>
      <c r="S49" s="35"/>
      <c r="T49" s="35" t="s">
        <v>248</v>
      </c>
    </row>
    <row r="50" spans="1:20" ht="18" customHeight="1" x14ac:dyDescent="0.2">
      <c r="A50" s="32">
        <v>46</v>
      </c>
      <c r="B50" s="33"/>
      <c r="C50" s="32" t="s">
        <v>249</v>
      </c>
      <c r="D50" s="32" t="s">
        <v>35</v>
      </c>
      <c r="E50" s="32" t="s">
        <v>250</v>
      </c>
      <c r="F50" s="34"/>
      <c r="G50" s="32"/>
      <c r="H50" s="32" t="s">
        <v>161</v>
      </c>
      <c r="I50" s="32" t="s">
        <v>251</v>
      </c>
      <c r="J50" s="32"/>
      <c r="K50" s="32"/>
      <c r="L50" s="32" t="s">
        <v>56</v>
      </c>
      <c r="M50" s="32"/>
      <c r="N50" s="32" t="s">
        <v>57</v>
      </c>
      <c r="O50" s="33"/>
      <c r="P50" s="33"/>
      <c r="Q50" s="34">
        <v>0</v>
      </c>
      <c r="R50" s="32"/>
      <c r="S50" s="32"/>
      <c r="T50" s="32" t="s">
        <v>252</v>
      </c>
    </row>
    <row r="51" spans="1:20" ht="18" customHeight="1" x14ac:dyDescent="0.2">
      <c r="A51" s="35">
        <v>47</v>
      </c>
      <c r="B51" s="36"/>
      <c r="C51" s="35" t="s">
        <v>253</v>
      </c>
      <c r="D51" s="35" t="s">
        <v>35</v>
      </c>
      <c r="E51" s="35" t="s">
        <v>254</v>
      </c>
      <c r="F51" s="37"/>
      <c r="G51" s="35"/>
      <c r="H51" s="35" t="s">
        <v>66</v>
      </c>
      <c r="I51" s="35" t="s">
        <v>255</v>
      </c>
      <c r="J51" s="35"/>
      <c r="K51" s="35"/>
      <c r="L51" s="35" t="s">
        <v>56</v>
      </c>
      <c r="M51" s="35"/>
      <c r="N51" s="35" t="s">
        <v>57</v>
      </c>
      <c r="O51" s="36"/>
      <c r="P51" s="36"/>
      <c r="Q51" s="37">
        <v>0</v>
      </c>
      <c r="R51" s="35"/>
      <c r="S51" s="35"/>
      <c r="T51" s="35" t="s">
        <v>256</v>
      </c>
    </row>
    <row r="52" spans="1:20" ht="18" customHeight="1" x14ac:dyDescent="0.2">
      <c r="A52" s="32">
        <v>48</v>
      </c>
      <c r="B52" s="33"/>
      <c r="C52" s="32" t="s">
        <v>257</v>
      </c>
      <c r="D52" s="32" t="s">
        <v>35</v>
      </c>
      <c r="E52" s="32" t="s">
        <v>258</v>
      </c>
      <c r="F52" s="34"/>
      <c r="G52" s="32"/>
      <c r="H52" s="32" t="s">
        <v>205</v>
      </c>
      <c r="I52" s="32"/>
      <c r="J52" s="32" t="s">
        <v>259</v>
      </c>
      <c r="K52" s="32"/>
      <c r="L52" s="32" t="s">
        <v>56</v>
      </c>
      <c r="M52" s="32"/>
      <c r="N52" s="32" t="s">
        <v>57</v>
      </c>
      <c r="O52" s="33"/>
      <c r="P52" s="33"/>
      <c r="Q52" s="34">
        <v>0</v>
      </c>
      <c r="R52" s="32"/>
      <c r="S52" s="32"/>
      <c r="T52" s="32" t="s">
        <v>260</v>
      </c>
    </row>
    <row r="53" spans="1:20" ht="18" customHeight="1" x14ac:dyDescent="0.2">
      <c r="A53" s="35">
        <v>49</v>
      </c>
      <c r="B53" s="36"/>
      <c r="C53" s="35" t="s">
        <v>261</v>
      </c>
      <c r="D53" s="35" t="s">
        <v>35</v>
      </c>
      <c r="E53" s="35" t="s">
        <v>262</v>
      </c>
      <c r="F53" s="37"/>
      <c r="G53" s="35"/>
      <c r="H53" s="35" t="s">
        <v>205</v>
      </c>
      <c r="I53" s="35"/>
      <c r="J53" s="35"/>
      <c r="K53" s="35"/>
      <c r="L53" s="35" t="s">
        <v>56</v>
      </c>
      <c r="M53" s="35"/>
      <c r="N53" s="35" t="s">
        <v>57</v>
      </c>
      <c r="O53" s="36"/>
      <c r="P53" s="36"/>
      <c r="Q53" s="37">
        <v>0</v>
      </c>
      <c r="R53" s="35"/>
      <c r="S53" s="35"/>
      <c r="T53" s="35" t="s">
        <v>263</v>
      </c>
    </row>
    <row r="54" spans="1:20" ht="18" customHeight="1" x14ac:dyDescent="0.2">
      <c r="A54" s="32">
        <v>50</v>
      </c>
      <c r="B54" s="33"/>
      <c r="C54" s="32" t="s">
        <v>264</v>
      </c>
      <c r="D54" s="32" t="s">
        <v>35</v>
      </c>
      <c r="E54" s="32" t="s">
        <v>265</v>
      </c>
      <c r="F54" s="34"/>
      <c r="G54" s="32"/>
      <c r="H54" s="32" t="s">
        <v>205</v>
      </c>
      <c r="I54" s="32"/>
      <c r="J54" s="32"/>
      <c r="K54" s="32"/>
      <c r="L54" s="32" t="s">
        <v>56</v>
      </c>
      <c r="M54" s="32"/>
      <c r="N54" s="32" t="s">
        <v>57</v>
      </c>
      <c r="O54" s="33"/>
      <c r="P54" s="33"/>
      <c r="Q54" s="34">
        <v>0</v>
      </c>
      <c r="R54" s="32"/>
      <c r="S54" s="32"/>
      <c r="T54" s="32" t="s">
        <v>266</v>
      </c>
    </row>
    <row r="55" spans="1:20" ht="18" customHeight="1" x14ac:dyDescent="0.2">
      <c r="A55" s="35"/>
      <c r="B55" s="36"/>
      <c r="C55" s="35"/>
      <c r="D55" s="35"/>
      <c r="E55" s="35"/>
      <c r="F55" s="37"/>
      <c r="G55" s="35"/>
      <c r="H55" s="35"/>
      <c r="I55" s="35"/>
      <c r="J55" s="35"/>
      <c r="K55" s="35"/>
      <c r="L55" s="35"/>
      <c r="M55" s="35"/>
      <c r="N55" s="35"/>
      <c r="O55" s="36"/>
      <c r="P55" s="36"/>
      <c r="Q55" s="37"/>
      <c r="R55" s="35"/>
      <c r="S55" s="35"/>
      <c r="T55" s="35"/>
    </row>
    <row r="56" spans="1:20" ht="18" customHeight="1" x14ac:dyDescent="0.2">
      <c r="A56" s="32"/>
      <c r="B56" s="33"/>
      <c r="C56" s="32"/>
      <c r="D56" s="32"/>
      <c r="E56" s="32"/>
      <c r="F56" s="34"/>
      <c r="G56" s="32"/>
      <c r="H56" s="32"/>
      <c r="I56" s="32"/>
      <c r="J56" s="32"/>
      <c r="K56" s="32"/>
      <c r="L56" s="32"/>
      <c r="M56" s="32"/>
      <c r="N56" s="32"/>
      <c r="O56" s="33"/>
      <c r="P56" s="33"/>
      <c r="Q56" s="34"/>
      <c r="R56" s="32"/>
      <c r="S56" s="32"/>
      <c r="T56" s="32"/>
    </row>
    <row r="57" spans="1:20" ht="18" customHeight="1" x14ac:dyDescent="0.2">
      <c r="A57" s="35"/>
      <c r="B57" s="36"/>
      <c r="C57" s="35"/>
      <c r="D57" s="35"/>
      <c r="E57" s="35"/>
      <c r="F57" s="37"/>
      <c r="G57" s="35"/>
      <c r="H57" s="35"/>
      <c r="I57" s="35"/>
      <c r="J57" s="35"/>
      <c r="K57" s="35"/>
      <c r="L57" s="35"/>
      <c r="M57" s="35"/>
      <c r="N57" s="35"/>
      <c r="O57" s="36"/>
      <c r="P57" s="36"/>
      <c r="Q57" s="37"/>
      <c r="R57" s="35"/>
      <c r="S57" s="35"/>
      <c r="T57" s="35"/>
    </row>
    <row r="58" spans="1:20" ht="18" customHeight="1" x14ac:dyDescent="0.2">
      <c r="A58" s="32"/>
      <c r="B58" s="33"/>
      <c r="C58" s="32"/>
      <c r="D58" s="32"/>
      <c r="E58" s="32"/>
      <c r="F58" s="34"/>
      <c r="G58" s="32"/>
      <c r="H58" s="32"/>
      <c r="I58" s="32"/>
      <c r="J58" s="32"/>
      <c r="K58" s="32"/>
      <c r="L58" s="32"/>
      <c r="M58" s="32"/>
      <c r="N58" s="32"/>
      <c r="O58" s="33"/>
      <c r="P58" s="33"/>
      <c r="Q58" s="34"/>
      <c r="R58" s="32"/>
      <c r="S58" s="32"/>
      <c r="T58" s="32"/>
    </row>
    <row r="59" spans="1:20" ht="18" customHeight="1" x14ac:dyDescent="0.2">
      <c r="A59" s="35"/>
      <c r="B59" s="36"/>
      <c r="C59" s="35"/>
      <c r="D59" s="35"/>
      <c r="E59" s="35"/>
      <c r="F59" s="37"/>
      <c r="G59" s="35"/>
      <c r="H59" s="35"/>
      <c r="I59" s="35"/>
      <c r="J59" s="35"/>
      <c r="K59" s="35"/>
      <c r="L59" s="35"/>
      <c r="M59" s="35"/>
      <c r="N59" s="35"/>
      <c r="O59" s="36"/>
      <c r="P59" s="36"/>
      <c r="Q59" s="37"/>
      <c r="R59" s="35"/>
      <c r="S59" s="35"/>
      <c r="T59" s="35"/>
    </row>
    <row r="60" spans="1:20" ht="18" customHeight="1" x14ac:dyDescent="0.2">
      <c r="A60" s="32"/>
      <c r="B60" s="33"/>
      <c r="C60" s="32"/>
      <c r="D60" s="32"/>
      <c r="E60" s="32"/>
      <c r="F60" s="34"/>
      <c r="G60" s="32"/>
      <c r="H60" s="32"/>
      <c r="I60" s="32"/>
      <c r="J60" s="32"/>
      <c r="K60" s="32"/>
      <c r="L60" s="32"/>
      <c r="M60" s="32"/>
      <c r="N60" s="32"/>
      <c r="O60" s="33"/>
      <c r="P60" s="33"/>
      <c r="Q60" s="34"/>
      <c r="R60" s="32"/>
      <c r="S60" s="32"/>
      <c r="T60" s="32"/>
    </row>
    <row r="61" spans="1:20" ht="18" customHeight="1" x14ac:dyDescent="0.2">
      <c r="A61" s="35"/>
      <c r="B61" s="36"/>
      <c r="C61" s="35"/>
      <c r="D61" s="35"/>
      <c r="E61" s="35"/>
      <c r="F61" s="37"/>
      <c r="G61" s="35"/>
      <c r="H61" s="35"/>
      <c r="I61" s="35"/>
      <c r="J61" s="35"/>
      <c r="K61" s="35"/>
      <c r="L61" s="35"/>
      <c r="M61" s="35"/>
      <c r="N61" s="35"/>
      <c r="O61" s="36"/>
      <c r="P61" s="36"/>
      <c r="Q61" s="37"/>
      <c r="R61" s="35"/>
      <c r="S61" s="35"/>
      <c r="T61" s="35"/>
    </row>
    <row r="62" spans="1:20" ht="18" customHeight="1" x14ac:dyDescent="0.2">
      <c r="A62" s="32"/>
      <c r="B62" s="33"/>
      <c r="C62" s="32"/>
      <c r="D62" s="32"/>
      <c r="E62" s="32"/>
      <c r="F62" s="34"/>
      <c r="G62" s="32"/>
      <c r="H62" s="32"/>
      <c r="I62" s="32"/>
      <c r="J62" s="32"/>
      <c r="K62" s="32"/>
      <c r="L62" s="32"/>
      <c r="M62" s="32"/>
      <c r="N62" s="32"/>
      <c r="O62" s="33"/>
      <c r="P62" s="33"/>
      <c r="Q62" s="34"/>
      <c r="R62" s="32"/>
      <c r="S62" s="32"/>
      <c r="T62" s="32"/>
    </row>
    <row r="63" spans="1:20" ht="18" customHeight="1" x14ac:dyDescent="0.2">
      <c r="A63" s="35"/>
      <c r="B63" s="36"/>
      <c r="C63" s="35"/>
      <c r="D63" s="35"/>
      <c r="E63" s="35"/>
      <c r="F63" s="37"/>
      <c r="G63" s="35"/>
      <c r="H63" s="35"/>
      <c r="I63" s="35"/>
      <c r="J63" s="35"/>
      <c r="K63" s="35"/>
      <c r="L63" s="35"/>
      <c r="M63" s="35"/>
      <c r="N63" s="35"/>
      <c r="O63" s="36"/>
      <c r="P63" s="36"/>
      <c r="Q63" s="37"/>
      <c r="R63" s="35"/>
      <c r="S63" s="35"/>
      <c r="T63" s="35"/>
    </row>
    <row r="64" spans="1:20" ht="18" customHeight="1" x14ac:dyDescent="0.2">
      <c r="A64" s="32"/>
      <c r="B64" s="33"/>
      <c r="C64" s="32"/>
      <c r="D64" s="32"/>
      <c r="E64" s="32"/>
      <c r="F64" s="34"/>
      <c r="G64" s="32"/>
      <c r="H64" s="32"/>
      <c r="I64" s="32"/>
      <c r="J64" s="32"/>
      <c r="K64" s="32"/>
      <c r="L64" s="32"/>
      <c r="M64" s="32"/>
      <c r="N64" s="32"/>
      <c r="O64" s="33"/>
      <c r="P64" s="33"/>
      <c r="Q64" s="34"/>
      <c r="R64" s="32"/>
      <c r="S64" s="32"/>
      <c r="T64" s="32"/>
    </row>
    <row r="65" spans="1:20" ht="18" customHeight="1" x14ac:dyDescent="0.2">
      <c r="A65" s="35"/>
      <c r="B65" s="36"/>
      <c r="C65" s="35"/>
      <c r="D65" s="35"/>
      <c r="E65" s="35"/>
      <c r="F65" s="37"/>
      <c r="G65" s="35"/>
      <c r="H65" s="35"/>
      <c r="I65" s="35"/>
      <c r="J65" s="35"/>
      <c r="K65" s="35"/>
      <c r="L65" s="35"/>
      <c r="M65" s="35"/>
      <c r="N65" s="35"/>
      <c r="O65" s="36"/>
      <c r="P65" s="36"/>
      <c r="Q65" s="37"/>
      <c r="R65" s="35"/>
      <c r="S65" s="35"/>
      <c r="T65" s="35"/>
    </row>
    <row r="66" spans="1:20" ht="18" customHeight="1" x14ac:dyDescent="0.2">
      <c r="A66" s="32"/>
      <c r="B66" s="33"/>
      <c r="C66" s="32"/>
      <c r="D66" s="32"/>
      <c r="E66" s="32"/>
      <c r="F66" s="34"/>
      <c r="G66" s="32"/>
      <c r="H66" s="32"/>
      <c r="I66" s="32"/>
      <c r="J66" s="32"/>
      <c r="K66" s="32"/>
      <c r="L66" s="32"/>
      <c r="M66" s="32"/>
      <c r="N66" s="32"/>
      <c r="O66" s="33"/>
      <c r="P66" s="33"/>
      <c r="Q66" s="34"/>
      <c r="R66" s="32"/>
      <c r="S66" s="32"/>
      <c r="T66" s="32"/>
    </row>
    <row r="67" spans="1:20" ht="18" customHeight="1" x14ac:dyDescent="0.2">
      <c r="A67" s="35"/>
      <c r="B67" s="36"/>
      <c r="C67" s="35"/>
      <c r="D67" s="35"/>
      <c r="E67" s="35"/>
      <c r="F67" s="37"/>
      <c r="G67" s="35"/>
      <c r="H67" s="35"/>
      <c r="I67" s="35"/>
      <c r="J67" s="35"/>
      <c r="K67" s="35"/>
      <c r="L67" s="35"/>
      <c r="M67" s="35"/>
      <c r="N67" s="35"/>
      <c r="O67" s="36"/>
      <c r="P67" s="36"/>
      <c r="Q67" s="37"/>
      <c r="R67" s="35"/>
      <c r="S67" s="35"/>
      <c r="T67" s="35"/>
    </row>
    <row r="68" spans="1:20" ht="18" customHeight="1" x14ac:dyDescent="0.2">
      <c r="A68" s="32"/>
      <c r="B68" s="33"/>
      <c r="C68" s="32"/>
      <c r="D68" s="32"/>
      <c r="E68" s="32"/>
      <c r="F68" s="34"/>
      <c r="G68" s="32"/>
      <c r="H68" s="32"/>
      <c r="I68" s="32"/>
      <c r="J68" s="32"/>
      <c r="K68" s="32"/>
      <c r="L68" s="32"/>
      <c r="M68" s="32"/>
      <c r="N68" s="32"/>
      <c r="O68" s="33"/>
      <c r="P68" s="33"/>
      <c r="Q68" s="34"/>
      <c r="R68" s="32"/>
      <c r="S68" s="32"/>
      <c r="T68" s="32"/>
    </row>
    <row r="69" spans="1:20" ht="18" customHeight="1" x14ac:dyDescent="0.2">
      <c r="A69" s="35"/>
      <c r="B69" s="36"/>
      <c r="C69" s="35"/>
      <c r="D69" s="35"/>
      <c r="E69" s="35"/>
      <c r="F69" s="37"/>
      <c r="G69" s="35"/>
      <c r="H69" s="35"/>
      <c r="I69" s="35"/>
      <c r="J69" s="35"/>
      <c r="K69" s="35"/>
      <c r="L69" s="35"/>
      <c r="M69" s="35"/>
      <c r="N69" s="35"/>
      <c r="O69" s="36"/>
      <c r="P69" s="36"/>
      <c r="Q69" s="37"/>
      <c r="R69" s="35"/>
      <c r="S69" s="35"/>
      <c r="T69" s="35"/>
    </row>
    <row r="70" spans="1:20" ht="18" customHeight="1" x14ac:dyDescent="0.2">
      <c r="A70" s="32"/>
      <c r="B70" s="33"/>
      <c r="C70" s="32"/>
      <c r="D70" s="32"/>
      <c r="E70" s="32"/>
      <c r="F70" s="34"/>
      <c r="G70" s="32"/>
      <c r="H70" s="32"/>
      <c r="I70" s="32"/>
      <c r="J70" s="32"/>
      <c r="K70" s="32"/>
      <c r="L70" s="32"/>
      <c r="M70" s="32"/>
      <c r="N70" s="32"/>
      <c r="O70" s="33"/>
      <c r="P70" s="33"/>
      <c r="Q70" s="34"/>
      <c r="R70" s="32"/>
      <c r="S70" s="32"/>
      <c r="T70" s="32"/>
    </row>
    <row r="71" spans="1:20" ht="18" customHeight="1" x14ac:dyDescent="0.2">
      <c r="A71" s="35"/>
      <c r="B71" s="36"/>
      <c r="C71" s="35"/>
      <c r="D71" s="35"/>
      <c r="E71" s="35"/>
      <c r="F71" s="37"/>
      <c r="G71" s="35"/>
      <c r="H71" s="35"/>
      <c r="I71" s="35"/>
      <c r="J71" s="35"/>
      <c r="K71" s="35"/>
      <c r="L71" s="35"/>
      <c r="M71" s="35"/>
      <c r="N71" s="35"/>
      <c r="O71" s="36"/>
      <c r="P71" s="36"/>
      <c r="Q71" s="37"/>
      <c r="R71" s="35"/>
      <c r="S71" s="35"/>
      <c r="T71" s="35"/>
    </row>
    <row r="72" spans="1:20" ht="18" customHeight="1" x14ac:dyDescent="0.2">
      <c r="A72" s="32"/>
      <c r="B72" s="33"/>
      <c r="C72" s="32"/>
      <c r="D72" s="32"/>
      <c r="E72" s="32"/>
      <c r="F72" s="34"/>
      <c r="G72" s="32"/>
      <c r="H72" s="32"/>
      <c r="I72" s="32"/>
      <c r="J72" s="32"/>
      <c r="K72" s="32"/>
      <c r="L72" s="32"/>
      <c r="M72" s="32"/>
      <c r="N72" s="32"/>
      <c r="O72" s="33"/>
      <c r="P72" s="33"/>
      <c r="Q72" s="34"/>
      <c r="R72" s="32"/>
      <c r="S72" s="32"/>
      <c r="T72" s="32"/>
    </row>
    <row r="73" spans="1:20" ht="18" customHeight="1" x14ac:dyDescent="0.2">
      <c r="A73" s="35"/>
      <c r="B73" s="36"/>
      <c r="C73" s="35"/>
      <c r="D73" s="35"/>
      <c r="E73" s="35"/>
      <c r="F73" s="37"/>
      <c r="G73" s="35"/>
      <c r="H73" s="35"/>
      <c r="I73" s="35"/>
      <c r="J73" s="35"/>
      <c r="K73" s="35"/>
      <c r="L73" s="35"/>
      <c r="M73" s="35"/>
      <c r="N73" s="35"/>
      <c r="O73" s="36"/>
      <c r="P73" s="36"/>
      <c r="Q73" s="37"/>
      <c r="R73" s="35"/>
      <c r="S73" s="35"/>
      <c r="T73" s="35"/>
    </row>
    <row r="74" spans="1:20" ht="18" customHeight="1" x14ac:dyDescent="0.2">
      <c r="A74" s="32"/>
      <c r="B74" s="33"/>
      <c r="C74" s="32"/>
      <c r="D74" s="32"/>
      <c r="E74" s="32"/>
      <c r="F74" s="34"/>
      <c r="G74" s="32"/>
      <c r="H74" s="32"/>
      <c r="I74" s="32"/>
      <c r="J74" s="32"/>
      <c r="K74" s="32"/>
      <c r="L74" s="32"/>
      <c r="M74" s="32"/>
      <c r="N74" s="32"/>
      <c r="O74" s="33"/>
      <c r="P74" s="33"/>
      <c r="Q74" s="34"/>
      <c r="R74" s="32"/>
      <c r="S74" s="32"/>
      <c r="T74" s="32"/>
    </row>
    <row r="75" spans="1:20" ht="18" customHeight="1" x14ac:dyDescent="0.2">
      <c r="A75" s="35"/>
      <c r="B75" s="36"/>
      <c r="C75" s="35"/>
      <c r="D75" s="35"/>
      <c r="E75" s="35"/>
      <c r="F75" s="37"/>
      <c r="G75" s="35"/>
      <c r="H75" s="35"/>
      <c r="I75" s="35"/>
      <c r="J75" s="35"/>
      <c r="K75" s="35"/>
      <c r="L75" s="35"/>
      <c r="M75" s="35"/>
      <c r="N75" s="35"/>
      <c r="O75" s="36"/>
      <c r="P75" s="36"/>
      <c r="Q75" s="37"/>
      <c r="R75" s="35"/>
      <c r="S75" s="35"/>
      <c r="T75" s="35"/>
    </row>
    <row r="76" spans="1:20" ht="18" customHeight="1" x14ac:dyDescent="0.2">
      <c r="A76" s="32"/>
      <c r="B76" s="33"/>
      <c r="C76" s="32"/>
      <c r="D76" s="32"/>
      <c r="E76" s="32"/>
      <c r="F76" s="34"/>
      <c r="G76" s="32"/>
      <c r="H76" s="32"/>
      <c r="I76" s="32"/>
      <c r="J76" s="32"/>
      <c r="K76" s="32"/>
      <c r="L76" s="32"/>
      <c r="M76" s="32"/>
      <c r="N76" s="32"/>
      <c r="O76" s="33"/>
      <c r="P76" s="33"/>
      <c r="Q76" s="34"/>
      <c r="R76" s="32"/>
      <c r="S76" s="32"/>
      <c r="T76" s="32"/>
    </row>
    <row r="77" spans="1:20" ht="18" customHeight="1" x14ac:dyDescent="0.2">
      <c r="A77" s="35"/>
      <c r="B77" s="36"/>
      <c r="C77" s="35"/>
      <c r="D77" s="35"/>
      <c r="E77" s="35"/>
      <c r="F77" s="37"/>
      <c r="G77" s="35"/>
      <c r="H77" s="35"/>
      <c r="I77" s="35"/>
      <c r="J77" s="35"/>
      <c r="K77" s="35"/>
      <c r="L77" s="35"/>
      <c r="M77" s="35"/>
      <c r="N77" s="35"/>
      <c r="O77" s="36"/>
      <c r="P77" s="36"/>
      <c r="Q77" s="37"/>
      <c r="R77" s="35"/>
      <c r="S77" s="35"/>
      <c r="T77" s="35"/>
    </row>
    <row r="78" spans="1:20" ht="18" customHeight="1" x14ac:dyDescent="0.2">
      <c r="A78" s="32"/>
      <c r="B78" s="33"/>
      <c r="C78" s="32"/>
      <c r="D78" s="32"/>
      <c r="E78" s="32"/>
      <c r="F78" s="34"/>
      <c r="G78" s="32"/>
      <c r="H78" s="32"/>
      <c r="I78" s="32"/>
      <c r="J78" s="32"/>
      <c r="K78" s="32"/>
      <c r="L78" s="32"/>
      <c r="M78" s="32"/>
      <c r="N78" s="32"/>
      <c r="O78" s="33"/>
      <c r="P78" s="33"/>
      <c r="Q78" s="34"/>
      <c r="R78" s="32"/>
      <c r="S78" s="32"/>
      <c r="T78" s="32"/>
    </row>
    <row r="79" spans="1:20" ht="18" customHeight="1" x14ac:dyDescent="0.2">
      <c r="A79" s="35"/>
      <c r="B79" s="36"/>
      <c r="C79" s="35"/>
      <c r="D79" s="35"/>
      <c r="E79" s="35"/>
      <c r="F79" s="37"/>
      <c r="G79" s="35"/>
      <c r="H79" s="35"/>
      <c r="I79" s="35"/>
      <c r="J79" s="35"/>
      <c r="K79" s="35"/>
      <c r="L79" s="35"/>
      <c r="M79" s="35"/>
      <c r="N79" s="35"/>
      <c r="O79" s="36"/>
      <c r="P79" s="36"/>
      <c r="Q79" s="37"/>
      <c r="R79" s="35"/>
      <c r="S79" s="35"/>
      <c r="T79" s="35"/>
    </row>
    <row r="80" spans="1:20" ht="18" customHeight="1" x14ac:dyDescent="0.2">
      <c r="A80" s="32"/>
      <c r="B80" s="33"/>
      <c r="C80" s="32"/>
      <c r="D80" s="32"/>
      <c r="E80" s="32"/>
      <c r="F80" s="34"/>
      <c r="G80" s="32"/>
      <c r="H80" s="32"/>
      <c r="I80" s="32"/>
      <c r="J80" s="32"/>
      <c r="K80" s="32"/>
      <c r="L80" s="32"/>
      <c r="M80" s="32"/>
      <c r="N80" s="32"/>
      <c r="O80" s="33"/>
      <c r="P80" s="33"/>
      <c r="Q80" s="34"/>
      <c r="R80" s="32"/>
      <c r="S80" s="32"/>
      <c r="T80" s="32"/>
    </row>
    <row r="81" spans="1:20" ht="18" customHeight="1" x14ac:dyDescent="0.2">
      <c r="A81" s="35"/>
      <c r="B81" s="36"/>
      <c r="C81" s="35"/>
      <c r="D81" s="35"/>
      <c r="E81" s="35"/>
      <c r="F81" s="37"/>
      <c r="G81" s="35"/>
      <c r="H81" s="35"/>
      <c r="I81" s="35"/>
      <c r="J81" s="35"/>
      <c r="K81" s="35"/>
      <c r="L81" s="35"/>
      <c r="M81" s="35"/>
      <c r="N81" s="35"/>
      <c r="O81" s="36"/>
      <c r="P81" s="36"/>
      <c r="Q81" s="37"/>
      <c r="R81" s="35"/>
      <c r="S81" s="35"/>
      <c r="T81" s="35"/>
    </row>
    <row r="82" spans="1:20" ht="18" customHeight="1" x14ac:dyDescent="0.2">
      <c r="A82" s="32"/>
      <c r="B82" s="33"/>
      <c r="C82" s="32"/>
      <c r="D82" s="32"/>
      <c r="E82" s="32"/>
      <c r="F82" s="34"/>
      <c r="G82" s="32"/>
      <c r="H82" s="32"/>
      <c r="I82" s="32"/>
      <c r="J82" s="32"/>
      <c r="K82" s="32"/>
      <c r="L82" s="32"/>
      <c r="M82" s="32"/>
      <c r="N82" s="32"/>
      <c r="O82" s="33"/>
      <c r="P82" s="33"/>
      <c r="Q82" s="34"/>
      <c r="R82" s="32"/>
      <c r="S82" s="32"/>
      <c r="T82" s="32"/>
    </row>
    <row r="83" spans="1:20" ht="18" customHeight="1" x14ac:dyDescent="0.2">
      <c r="A83" s="35"/>
      <c r="B83" s="36"/>
      <c r="C83" s="35"/>
      <c r="D83" s="35"/>
      <c r="E83" s="35"/>
      <c r="F83" s="37"/>
      <c r="G83" s="35"/>
      <c r="H83" s="35"/>
      <c r="I83" s="35"/>
      <c r="J83" s="35"/>
      <c r="K83" s="35"/>
      <c r="L83" s="35"/>
      <c r="M83" s="35"/>
      <c r="N83" s="35"/>
      <c r="O83" s="36"/>
      <c r="P83" s="36"/>
      <c r="Q83" s="37"/>
      <c r="R83" s="35"/>
      <c r="S83" s="35"/>
      <c r="T83" s="35"/>
    </row>
    <row r="84" spans="1:20" ht="18" customHeight="1" x14ac:dyDescent="0.2">
      <c r="A84" s="32"/>
      <c r="B84" s="33"/>
      <c r="C84" s="32"/>
      <c r="D84" s="32"/>
      <c r="E84" s="32"/>
      <c r="F84" s="34"/>
      <c r="G84" s="32"/>
      <c r="H84" s="32"/>
      <c r="I84" s="32"/>
      <c r="J84" s="32"/>
      <c r="K84" s="32"/>
      <c r="L84" s="32"/>
      <c r="M84" s="32"/>
      <c r="N84" s="32"/>
      <c r="O84" s="33"/>
      <c r="P84" s="33"/>
      <c r="Q84" s="34"/>
      <c r="R84" s="32"/>
      <c r="S84" s="32"/>
      <c r="T84" s="32"/>
    </row>
    <row r="85" spans="1:20" ht="18" customHeight="1" x14ac:dyDescent="0.2">
      <c r="A85" s="35"/>
      <c r="B85" s="36"/>
      <c r="C85" s="35"/>
      <c r="D85" s="35"/>
      <c r="E85" s="35"/>
      <c r="F85" s="37"/>
      <c r="G85" s="35"/>
      <c r="H85" s="35"/>
      <c r="I85" s="35"/>
      <c r="J85" s="35"/>
      <c r="K85" s="35"/>
      <c r="L85" s="35"/>
      <c r="M85" s="35"/>
      <c r="N85" s="35"/>
      <c r="O85" s="36"/>
      <c r="P85" s="36"/>
      <c r="Q85" s="37"/>
      <c r="R85" s="35"/>
      <c r="S85" s="35"/>
      <c r="T85" s="35"/>
    </row>
    <row r="86" spans="1:20" ht="18" customHeight="1" x14ac:dyDescent="0.2">
      <c r="A86" s="32"/>
      <c r="B86" s="33"/>
      <c r="C86" s="32"/>
      <c r="D86" s="32"/>
      <c r="E86" s="32"/>
      <c r="F86" s="34"/>
      <c r="G86" s="32"/>
      <c r="H86" s="32"/>
      <c r="I86" s="32"/>
      <c r="J86" s="32"/>
      <c r="K86" s="32"/>
      <c r="L86" s="32"/>
      <c r="M86" s="32"/>
      <c r="N86" s="32"/>
      <c r="O86" s="33"/>
      <c r="P86" s="33"/>
      <c r="Q86" s="34"/>
      <c r="R86" s="32"/>
      <c r="S86" s="32"/>
      <c r="T86" s="32"/>
    </row>
    <row r="87" spans="1:20" ht="18" customHeight="1" x14ac:dyDescent="0.2">
      <c r="A87" s="35"/>
      <c r="B87" s="36"/>
      <c r="C87" s="35"/>
      <c r="D87" s="35"/>
      <c r="E87" s="35"/>
      <c r="F87" s="37"/>
      <c r="G87" s="35"/>
      <c r="H87" s="35"/>
      <c r="I87" s="35"/>
      <c r="J87" s="35"/>
      <c r="K87" s="35"/>
      <c r="L87" s="35"/>
      <c r="M87" s="35"/>
      <c r="N87" s="35"/>
      <c r="O87" s="36"/>
      <c r="P87" s="36"/>
      <c r="Q87" s="37"/>
      <c r="R87" s="35"/>
      <c r="S87" s="35"/>
      <c r="T87" s="35"/>
    </row>
    <row r="88" spans="1:20" ht="18" customHeight="1" x14ac:dyDescent="0.2">
      <c r="A88" s="32"/>
      <c r="B88" s="33"/>
      <c r="C88" s="32"/>
      <c r="D88" s="32"/>
      <c r="E88" s="32"/>
      <c r="F88" s="34"/>
      <c r="G88" s="32"/>
      <c r="H88" s="32"/>
      <c r="I88" s="32"/>
      <c r="J88" s="32"/>
      <c r="K88" s="32"/>
      <c r="L88" s="32"/>
      <c r="M88" s="32"/>
      <c r="N88" s="32"/>
      <c r="O88" s="33"/>
      <c r="P88" s="33"/>
      <c r="Q88" s="34"/>
      <c r="R88" s="32"/>
      <c r="S88" s="32"/>
      <c r="T88" s="32"/>
    </row>
    <row r="89" spans="1:20" ht="18" customHeight="1" x14ac:dyDescent="0.2">
      <c r="A89" s="35"/>
      <c r="B89" s="36"/>
      <c r="C89" s="35"/>
      <c r="D89" s="35"/>
      <c r="E89" s="35"/>
      <c r="F89" s="37"/>
      <c r="G89" s="35"/>
      <c r="H89" s="35"/>
      <c r="I89" s="35"/>
      <c r="J89" s="35"/>
      <c r="K89" s="35"/>
      <c r="L89" s="35"/>
      <c r="M89" s="35"/>
      <c r="N89" s="35"/>
      <c r="O89" s="36"/>
      <c r="P89" s="36"/>
      <c r="Q89" s="37"/>
      <c r="R89" s="35"/>
      <c r="S89" s="35"/>
      <c r="T89" s="35"/>
    </row>
    <row r="90" spans="1:20" ht="18" customHeight="1" x14ac:dyDescent="0.2">
      <c r="A90" s="32"/>
      <c r="B90" s="33"/>
      <c r="C90" s="32"/>
      <c r="D90" s="32"/>
      <c r="E90" s="32"/>
      <c r="F90" s="34"/>
      <c r="G90" s="32"/>
      <c r="H90" s="32"/>
      <c r="I90" s="32"/>
      <c r="J90" s="32"/>
      <c r="K90" s="32"/>
      <c r="L90" s="32"/>
      <c r="M90" s="32"/>
      <c r="N90" s="32"/>
      <c r="O90" s="33"/>
      <c r="P90" s="33"/>
      <c r="Q90" s="34"/>
      <c r="R90" s="32"/>
      <c r="S90" s="32"/>
      <c r="T90" s="32"/>
    </row>
    <row r="91" spans="1:20" ht="18" customHeight="1" x14ac:dyDescent="0.2">
      <c r="A91" s="35"/>
      <c r="B91" s="36"/>
      <c r="C91" s="35"/>
      <c r="D91" s="35"/>
      <c r="E91" s="35"/>
      <c r="F91" s="37"/>
      <c r="G91" s="35"/>
      <c r="H91" s="35"/>
      <c r="I91" s="35"/>
      <c r="J91" s="35"/>
      <c r="K91" s="35"/>
      <c r="L91" s="35"/>
      <c r="M91" s="35"/>
      <c r="N91" s="35"/>
      <c r="O91" s="36"/>
      <c r="P91" s="36"/>
      <c r="Q91" s="37"/>
      <c r="R91" s="35"/>
      <c r="S91" s="35"/>
      <c r="T91" s="35"/>
    </row>
    <row r="92" spans="1:20" ht="18" customHeight="1" x14ac:dyDescent="0.2">
      <c r="A92" s="32"/>
      <c r="B92" s="33"/>
      <c r="C92" s="32"/>
      <c r="D92" s="32"/>
      <c r="E92" s="32"/>
      <c r="F92" s="34"/>
      <c r="G92" s="32"/>
      <c r="H92" s="32"/>
      <c r="I92" s="32"/>
      <c r="J92" s="32"/>
      <c r="K92" s="32"/>
      <c r="L92" s="32"/>
      <c r="M92" s="32"/>
      <c r="N92" s="32"/>
      <c r="O92" s="33"/>
      <c r="P92" s="33"/>
      <c r="Q92" s="34"/>
      <c r="R92" s="32"/>
      <c r="S92" s="32"/>
      <c r="T92" s="32"/>
    </row>
    <row r="93" spans="1:20" ht="18" customHeight="1" x14ac:dyDescent="0.2">
      <c r="A93" s="35"/>
      <c r="B93" s="36"/>
      <c r="C93" s="35"/>
      <c r="D93" s="35"/>
      <c r="E93" s="35"/>
      <c r="F93" s="37"/>
      <c r="G93" s="35"/>
      <c r="H93" s="35"/>
      <c r="I93" s="35"/>
      <c r="J93" s="35"/>
      <c r="K93" s="35"/>
      <c r="L93" s="35"/>
      <c r="M93" s="35"/>
      <c r="N93" s="35"/>
      <c r="O93" s="36"/>
      <c r="P93" s="36"/>
      <c r="Q93" s="37"/>
      <c r="R93" s="35"/>
      <c r="S93" s="35"/>
      <c r="T93" s="35"/>
    </row>
    <row r="94" spans="1:20" ht="18" customHeight="1" x14ac:dyDescent="0.2">
      <c r="A94" s="32"/>
      <c r="B94" s="33"/>
      <c r="C94" s="32"/>
      <c r="D94" s="32"/>
      <c r="E94" s="32"/>
      <c r="F94" s="34"/>
      <c r="G94" s="32"/>
      <c r="H94" s="32"/>
      <c r="I94" s="32"/>
      <c r="J94" s="32"/>
      <c r="K94" s="32"/>
      <c r="L94" s="32"/>
      <c r="M94" s="32"/>
      <c r="N94" s="32"/>
      <c r="O94" s="33"/>
      <c r="P94" s="33"/>
      <c r="Q94" s="34"/>
      <c r="R94" s="32"/>
      <c r="S94" s="32"/>
      <c r="T94" s="32"/>
    </row>
    <row r="95" spans="1:20" ht="18" customHeight="1" x14ac:dyDescent="0.2">
      <c r="A95" s="35"/>
      <c r="B95" s="36"/>
      <c r="C95" s="35"/>
      <c r="D95" s="35"/>
      <c r="E95" s="35"/>
      <c r="F95" s="37"/>
      <c r="G95" s="35"/>
      <c r="H95" s="35"/>
      <c r="I95" s="35"/>
      <c r="J95" s="35"/>
      <c r="K95" s="35"/>
      <c r="L95" s="35"/>
      <c r="M95" s="35"/>
      <c r="N95" s="35"/>
      <c r="O95" s="36"/>
      <c r="P95" s="36"/>
      <c r="Q95" s="37"/>
      <c r="R95" s="35"/>
      <c r="S95" s="35"/>
      <c r="T95" s="35"/>
    </row>
    <row r="96" spans="1:20" ht="18" customHeight="1" x14ac:dyDescent="0.2">
      <c r="A96" s="32"/>
      <c r="B96" s="33"/>
      <c r="C96" s="32"/>
      <c r="D96" s="32"/>
      <c r="E96" s="32"/>
      <c r="F96" s="34"/>
      <c r="G96" s="32"/>
      <c r="H96" s="32"/>
      <c r="I96" s="32"/>
      <c r="J96" s="32"/>
      <c r="K96" s="32"/>
      <c r="L96" s="32"/>
      <c r="M96" s="32"/>
      <c r="N96" s="32"/>
      <c r="O96" s="33"/>
      <c r="P96" s="33"/>
      <c r="Q96" s="34"/>
      <c r="R96" s="32"/>
      <c r="S96" s="32"/>
      <c r="T96" s="32"/>
    </row>
    <row r="97" spans="1:20" ht="18" customHeight="1" x14ac:dyDescent="0.2">
      <c r="A97" s="35"/>
      <c r="B97" s="36"/>
      <c r="C97" s="35"/>
      <c r="D97" s="35"/>
      <c r="E97" s="35"/>
      <c r="F97" s="37"/>
      <c r="G97" s="35"/>
      <c r="H97" s="35"/>
      <c r="I97" s="35"/>
      <c r="J97" s="35"/>
      <c r="K97" s="35"/>
      <c r="L97" s="35"/>
      <c r="M97" s="35"/>
      <c r="N97" s="35"/>
      <c r="O97" s="36"/>
      <c r="P97" s="36"/>
      <c r="Q97" s="37"/>
      <c r="R97" s="35"/>
      <c r="S97" s="35"/>
      <c r="T97" s="35"/>
    </row>
    <row r="98" spans="1:20" ht="18" customHeight="1" x14ac:dyDescent="0.2">
      <c r="A98" s="32"/>
      <c r="B98" s="33"/>
      <c r="C98" s="32"/>
      <c r="D98" s="32"/>
      <c r="E98" s="32"/>
      <c r="F98" s="34"/>
      <c r="G98" s="32"/>
      <c r="H98" s="32"/>
      <c r="I98" s="32"/>
      <c r="J98" s="32"/>
      <c r="K98" s="32"/>
      <c r="L98" s="32"/>
      <c r="M98" s="32"/>
      <c r="N98" s="32"/>
      <c r="O98" s="33"/>
      <c r="P98" s="33"/>
      <c r="Q98" s="34"/>
      <c r="R98" s="32"/>
      <c r="S98" s="32"/>
      <c r="T98" s="32"/>
    </row>
    <row r="99" spans="1:20" ht="18" customHeight="1" x14ac:dyDescent="0.2">
      <c r="A99" s="35"/>
      <c r="B99" s="36"/>
      <c r="C99" s="35"/>
      <c r="D99" s="35"/>
      <c r="E99" s="35"/>
      <c r="F99" s="37"/>
      <c r="G99" s="35"/>
      <c r="H99" s="35"/>
      <c r="I99" s="35"/>
      <c r="J99" s="35"/>
      <c r="K99" s="35"/>
      <c r="L99" s="35"/>
      <c r="M99" s="35"/>
      <c r="N99" s="35"/>
      <c r="O99" s="36"/>
      <c r="P99" s="36"/>
      <c r="Q99" s="37"/>
      <c r="R99" s="35"/>
      <c r="S99" s="35"/>
      <c r="T99" s="35"/>
    </row>
    <row r="100" spans="1:20" ht="18" customHeight="1" x14ac:dyDescent="0.2">
      <c r="A100" s="32"/>
      <c r="B100" s="33"/>
      <c r="C100" s="32"/>
      <c r="D100" s="32"/>
      <c r="E100" s="32"/>
      <c r="F100" s="34"/>
      <c r="G100" s="32"/>
      <c r="H100" s="32"/>
      <c r="I100" s="32"/>
      <c r="J100" s="32"/>
      <c r="K100" s="32"/>
      <c r="L100" s="32"/>
      <c r="M100" s="32"/>
      <c r="N100" s="32"/>
      <c r="O100" s="33"/>
      <c r="P100" s="33"/>
      <c r="Q100" s="34"/>
      <c r="R100" s="32"/>
      <c r="S100" s="32"/>
      <c r="T100" s="32"/>
    </row>
    <row r="101" spans="1:20" ht="18" customHeight="1" x14ac:dyDescent="0.2">
      <c r="A101" s="35"/>
      <c r="B101" s="36"/>
      <c r="C101" s="35"/>
      <c r="D101" s="35"/>
      <c r="E101" s="35"/>
      <c r="F101" s="37"/>
      <c r="G101" s="35"/>
      <c r="H101" s="35"/>
      <c r="I101" s="35"/>
      <c r="J101" s="35"/>
      <c r="K101" s="35"/>
      <c r="L101" s="35"/>
      <c r="M101" s="35"/>
      <c r="N101" s="35"/>
      <c r="O101" s="36"/>
      <c r="P101" s="36"/>
      <c r="Q101" s="37"/>
      <c r="R101" s="35"/>
      <c r="S101" s="35"/>
      <c r="T101" s="35"/>
    </row>
    <row r="102" spans="1:20" ht="18" customHeight="1" x14ac:dyDescent="0.2">
      <c r="A102" s="32"/>
      <c r="B102" s="33"/>
      <c r="C102" s="32"/>
      <c r="D102" s="32"/>
      <c r="E102" s="32"/>
      <c r="F102" s="34"/>
      <c r="G102" s="32"/>
      <c r="H102" s="32"/>
      <c r="I102" s="32"/>
      <c r="J102" s="32"/>
      <c r="K102" s="32"/>
      <c r="L102" s="32"/>
      <c r="M102" s="32"/>
      <c r="N102" s="32"/>
      <c r="O102" s="33"/>
      <c r="P102" s="33"/>
      <c r="Q102" s="34"/>
      <c r="R102" s="32"/>
      <c r="S102" s="32"/>
      <c r="T102" s="32"/>
    </row>
    <row r="103" spans="1:20" ht="18" customHeight="1" x14ac:dyDescent="0.2">
      <c r="A103" s="35"/>
      <c r="B103" s="36"/>
      <c r="C103" s="35"/>
      <c r="D103" s="35"/>
      <c r="E103" s="35"/>
      <c r="F103" s="37"/>
      <c r="G103" s="35"/>
      <c r="H103" s="35"/>
      <c r="I103" s="35"/>
      <c r="J103" s="35"/>
      <c r="K103" s="35"/>
      <c r="L103" s="35"/>
      <c r="M103" s="35"/>
      <c r="N103" s="35"/>
      <c r="O103" s="36"/>
      <c r="P103" s="36"/>
      <c r="Q103" s="37"/>
      <c r="R103" s="35"/>
      <c r="S103" s="35"/>
      <c r="T103" s="35"/>
    </row>
    <row r="104" spans="1:20" ht="18" customHeight="1" x14ac:dyDescent="0.2">
      <c r="A104" s="32"/>
      <c r="B104" s="33"/>
      <c r="C104" s="32"/>
      <c r="D104" s="32"/>
      <c r="E104" s="32"/>
      <c r="F104" s="34"/>
      <c r="G104" s="32"/>
      <c r="H104" s="32"/>
      <c r="I104" s="32"/>
      <c r="J104" s="32"/>
      <c r="K104" s="32"/>
      <c r="L104" s="32"/>
      <c r="M104" s="32"/>
      <c r="N104" s="32"/>
      <c r="O104" s="33"/>
      <c r="P104" s="33"/>
      <c r="Q104" s="34"/>
      <c r="R104" s="32"/>
      <c r="S104" s="32"/>
      <c r="T104" s="32"/>
    </row>
    <row r="105" spans="1:20" ht="18" customHeight="1" x14ac:dyDescent="0.2">
      <c r="A105" s="35"/>
      <c r="B105" s="36"/>
      <c r="C105" s="35"/>
      <c r="D105" s="35"/>
      <c r="E105" s="35"/>
      <c r="F105" s="37"/>
      <c r="G105" s="35"/>
      <c r="H105" s="35"/>
      <c r="I105" s="35"/>
      <c r="J105" s="35"/>
      <c r="K105" s="35"/>
      <c r="L105" s="35"/>
      <c r="M105" s="35"/>
      <c r="N105" s="35"/>
      <c r="O105" s="36"/>
      <c r="P105" s="36"/>
      <c r="Q105" s="37"/>
      <c r="R105" s="35"/>
      <c r="S105" s="35"/>
      <c r="T105" s="35"/>
    </row>
    <row r="106" spans="1:20" ht="18" customHeight="1" x14ac:dyDescent="0.2">
      <c r="A106" s="32"/>
      <c r="B106" s="33"/>
      <c r="C106" s="32"/>
      <c r="D106" s="32"/>
      <c r="E106" s="32"/>
      <c r="F106" s="34"/>
      <c r="G106" s="32"/>
      <c r="H106" s="32"/>
      <c r="I106" s="32"/>
      <c r="J106" s="32"/>
      <c r="K106" s="32"/>
      <c r="L106" s="32"/>
      <c r="M106" s="32"/>
      <c r="N106" s="32"/>
      <c r="O106" s="33"/>
      <c r="P106" s="33"/>
      <c r="Q106" s="34"/>
      <c r="R106" s="32"/>
      <c r="S106" s="32"/>
      <c r="T106" s="32"/>
    </row>
    <row r="107" spans="1:20" ht="18" customHeight="1" x14ac:dyDescent="0.2">
      <c r="A107" s="35"/>
      <c r="B107" s="36"/>
      <c r="C107" s="35"/>
      <c r="D107" s="35"/>
      <c r="E107" s="35"/>
      <c r="F107" s="37"/>
      <c r="G107" s="35"/>
      <c r="H107" s="35"/>
      <c r="I107" s="35"/>
      <c r="J107" s="35"/>
      <c r="K107" s="35"/>
      <c r="L107" s="35"/>
      <c r="M107" s="35"/>
      <c r="N107" s="35"/>
      <c r="O107" s="36"/>
      <c r="P107" s="36"/>
      <c r="Q107" s="37"/>
      <c r="R107" s="35"/>
      <c r="S107" s="35"/>
      <c r="T107" s="35"/>
    </row>
    <row r="108" spans="1:20" ht="18" customHeight="1" x14ac:dyDescent="0.2">
      <c r="A108" s="32"/>
      <c r="B108" s="33"/>
      <c r="C108" s="32"/>
      <c r="D108" s="32"/>
      <c r="E108" s="32"/>
      <c r="F108" s="34"/>
      <c r="G108" s="32"/>
      <c r="H108" s="32"/>
      <c r="I108" s="32"/>
      <c r="J108" s="32"/>
      <c r="K108" s="32"/>
      <c r="L108" s="32"/>
      <c r="M108" s="32"/>
      <c r="N108" s="32"/>
      <c r="O108" s="33"/>
      <c r="P108" s="33"/>
      <c r="Q108" s="34"/>
      <c r="R108" s="32"/>
      <c r="S108" s="32"/>
      <c r="T108" s="32"/>
    </row>
    <row r="109" spans="1:20" ht="18" customHeight="1" x14ac:dyDescent="0.2">
      <c r="A109" s="35"/>
      <c r="B109" s="36"/>
      <c r="C109" s="35"/>
      <c r="D109" s="35"/>
      <c r="E109" s="35"/>
      <c r="F109" s="37"/>
      <c r="G109" s="35"/>
      <c r="H109" s="35"/>
      <c r="I109" s="35"/>
      <c r="J109" s="35"/>
      <c r="K109" s="35"/>
      <c r="L109" s="35"/>
      <c r="M109" s="35"/>
      <c r="N109" s="35"/>
      <c r="O109" s="36"/>
      <c r="P109" s="36"/>
      <c r="Q109" s="37"/>
      <c r="R109" s="35"/>
      <c r="S109" s="35"/>
      <c r="T109" s="35"/>
    </row>
    <row r="110" spans="1:20" ht="18" customHeight="1" x14ac:dyDescent="0.2">
      <c r="A110" s="32"/>
      <c r="B110" s="33"/>
      <c r="C110" s="32"/>
      <c r="D110" s="32"/>
      <c r="E110" s="32"/>
      <c r="F110" s="34"/>
      <c r="G110" s="32"/>
      <c r="H110" s="32"/>
      <c r="I110" s="32"/>
      <c r="J110" s="32"/>
      <c r="K110" s="32"/>
      <c r="L110" s="32"/>
      <c r="M110" s="32"/>
      <c r="N110" s="32"/>
      <c r="O110" s="33"/>
      <c r="P110" s="33"/>
      <c r="Q110" s="34"/>
      <c r="R110" s="32"/>
      <c r="S110" s="32"/>
      <c r="T110" s="32"/>
    </row>
    <row r="111" spans="1:20" ht="18" customHeight="1" x14ac:dyDescent="0.2">
      <c r="A111" s="35"/>
      <c r="B111" s="36"/>
      <c r="C111" s="35"/>
      <c r="D111" s="35"/>
      <c r="E111" s="35"/>
      <c r="F111" s="37"/>
      <c r="G111" s="35"/>
      <c r="H111" s="35"/>
      <c r="I111" s="35"/>
      <c r="J111" s="35"/>
      <c r="K111" s="35"/>
      <c r="L111" s="35"/>
      <c r="M111" s="35"/>
      <c r="N111" s="35"/>
      <c r="O111" s="36"/>
      <c r="P111" s="36"/>
      <c r="Q111" s="37"/>
      <c r="R111" s="35"/>
      <c r="S111" s="35"/>
      <c r="T111" s="35"/>
    </row>
    <row r="112" spans="1:20" ht="18" customHeight="1" x14ac:dyDescent="0.2">
      <c r="A112" s="32"/>
      <c r="B112" s="33"/>
      <c r="C112" s="32"/>
      <c r="D112" s="32"/>
      <c r="E112" s="32"/>
      <c r="F112" s="34"/>
      <c r="G112" s="32"/>
      <c r="H112" s="32"/>
      <c r="I112" s="32"/>
      <c r="J112" s="32"/>
      <c r="K112" s="32"/>
      <c r="L112" s="32"/>
      <c r="M112" s="32"/>
      <c r="N112" s="32"/>
      <c r="O112" s="33"/>
      <c r="P112" s="33"/>
      <c r="Q112" s="34"/>
      <c r="R112" s="32"/>
      <c r="S112" s="32"/>
      <c r="T112" s="32"/>
    </row>
    <row r="113" spans="1:20" ht="18" customHeight="1" x14ac:dyDescent="0.2">
      <c r="A113" s="35"/>
      <c r="B113" s="36"/>
      <c r="C113" s="35"/>
      <c r="D113" s="35"/>
      <c r="E113" s="35"/>
      <c r="F113" s="37"/>
      <c r="G113" s="35"/>
      <c r="H113" s="35"/>
      <c r="I113" s="35"/>
      <c r="J113" s="35"/>
      <c r="K113" s="35"/>
      <c r="L113" s="35"/>
      <c r="M113" s="35"/>
      <c r="N113" s="35"/>
      <c r="O113" s="36"/>
      <c r="P113" s="36"/>
      <c r="Q113" s="37"/>
      <c r="R113" s="35"/>
      <c r="S113" s="35"/>
      <c r="T113" s="35"/>
    </row>
    <row r="114" spans="1:20" ht="18" customHeight="1" x14ac:dyDescent="0.2">
      <c r="A114" s="32"/>
      <c r="B114" s="33"/>
      <c r="C114" s="32"/>
      <c r="D114" s="32"/>
      <c r="E114" s="32"/>
      <c r="F114" s="34"/>
      <c r="G114" s="32"/>
      <c r="H114" s="32"/>
      <c r="I114" s="32"/>
      <c r="J114" s="32"/>
      <c r="K114" s="32"/>
      <c r="L114" s="32"/>
      <c r="M114" s="32"/>
      <c r="N114" s="32"/>
      <c r="O114" s="33"/>
      <c r="P114" s="33"/>
      <c r="Q114" s="34"/>
      <c r="R114" s="32"/>
      <c r="S114" s="32"/>
      <c r="T114" s="32"/>
    </row>
    <row r="115" spans="1:20" ht="18" customHeight="1" x14ac:dyDescent="0.2">
      <c r="A115" s="35"/>
      <c r="B115" s="36"/>
      <c r="C115" s="35"/>
      <c r="D115" s="35"/>
      <c r="E115" s="35"/>
      <c r="F115" s="37"/>
      <c r="G115" s="35"/>
      <c r="H115" s="35"/>
      <c r="I115" s="35"/>
      <c r="J115" s="35"/>
      <c r="K115" s="35"/>
      <c r="L115" s="35"/>
      <c r="M115" s="35"/>
      <c r="N115" s="35"/>
      <c r="O115" s="36"/>
      <c r="P115" s="36"/>
      <c r="Q115" s="37"/>
      <c r="R115" s="35"/>
      <c r="S115" s="35"/>
      <c r="T115" s="35"/>
    </row>
    <row r="116" spans="1:20" ht="18" customHeight="1" x14ac:dyDescent="0.2">
      <c r="A116" s="32"/>
      <c r="B116" s="33"/>
      <c r="C116" s="32"/>
      <c r="D116" s="32"/>
      <c r="E116" s="32"/>
      <c r="F116" s="34"/>
      <c r="G116" s="32"/>
      <c r="H116" s="32"/>
      <c r="I116" s="32"/>
      <c r="J116" s="32"/>
      <c r="K116" s="32"/>
      <c r="L116" s="32"/>
      <c r="M116" s="32"/>
      <c r="N116" s="32"/>
      <c r="O116" s="33"/>
      <c r="P116" s="33"/>
      <c r="Q116" s="34"/>
      <c r="R116" s="32"/>
      <c r="S116" s="32"/>
      <c r="T116" s="32"/>
    </row>
    <row r="117" spans="1:20" ht="18" customHeight="1" x14ac:dyDescent="0.2">
      <c r="A117" s="35"/>
      <c r="B117" s="36"/>
      <c r="C117" s="35"/>
      <c r="D117" s="35"/>
      <c r="E117" s="35"/>
      <c r="F117" s="37"/>
      <c r="G117" s="35"/>
      <c r="H117" s="35"/>
      <c r="I117" s="35"/>
      <c r="J117" s="35"/>
      <c r="K117" s="35"/>
      <c r="L117" s="35"/>
      <c r="M117" s="35"/>
      <c r="N117" s="35"/>
      <c r="O117" s="36"/>
      <c r="P117" s="36"/>
      <c r="Q117" s="37"/>
      <c r="R117" s="35"/>
      <c r="S117" s="35"/>
      <c r="T117" s="35"/>
    </row>
    <row r="118" spans="1:20" ht="18" customHeight="1" x14ac:dyDescent="0.2">
      <c r="A118" s="32"/>
      <c r="B118" s="33"/>
      <c r="C118" s="32"/>
      <c r="D118" s="32"/>
      <c r="E118" s="32"/>
      <c r="F118" s="34"/>
      <c r="G118" s="32"/>
      <c r="H118" s="32"/>
      <c r="I118" s="32"/>
      <c r="J118" s="32"/>
      <c r="K118" s="32"/>
      <c r="L118" s="32"/>
      <c r="M118" s="32"/>
      <c r="N118" s="32"/>
      <c r="O118" s="33"/>
      <c r="P118" s="33"/>
      <c r="Q118" s="34"/>
      <c r="R118" s="32"/>
      <c r="S118" s="32"/>
      <c r="T118" s="32"/>
    </row>
    <row r="119" spans="1:20" ht="18" customHeight="1" x14ac:dyDescent="0.2">
      <c r="A119" s="35"/>
      <c r="B119" s="36"/>
      <c r="C119" s="35"/>
      <c r="D119" s="35"/>
      <c r="E119" s="35"/>
      <c r="F119" s="37"/>
      <c r="G119" s="35"/>
      <c r="H119" s="35"/>
      <c r="I119" s="35"/>
      <c r="J119" s="35"/>
      <c r="K119" s="35"/>
      <c r="L119" s="35"/>
      <c r="M119" s="35"/>
      <c r="N119" s="35"/>
      <c r="O119" s="36"/>
      <c r="P119" s="36"/>
      <c r="Q119" s="37"/>
      <c r="R119" s="35"/>
      <c r="S119" s="35"/>
      <c r="T119" s="35"/>
    </row>
    <row r="120" spans="1:20" ht="18" customHeight="1" x14ac:dyDescent="0.2">
      <c r="A120" s="32"/>
      <c r="B120" s="33"/>
      <c r="C120" s="32"/>
      <c r="D120" s="32"/>
      <c r="E120" s="32"/>
      <c r="F120" s="34"/>
      <c r="G120" s="32"/>
      <c r="H120" s="32"/>
      <c r="I120" s="32"/>
      <c r="J120" s="32"/>
      <c r="K120" s="32"/>
      <c r="L120" s="32"/>
      <c r="M120" s="32"/>
      <c r="N120" s="32"/>
      <c r="O120" s="33"/>
      <c r="P120" s="33"/>
      <c r="Q120" s="34"/>
      <c r="R120" s="32"/>
      <c r="S120" s="32"/>
      <c r="T120" s="32"/>
    </row>
    <row r="121" spans="1:20" ht="18" customHeight="1" x14ac:dyDescent="0.2">
      <c r="A121" s="35"/>
      <c r="B121" s="36"/>
      <c r="C121" s="35"/>
      <c r="D121" s="35"/>
      <c r="E121" s="35"/>
      <c r="F121" s="37"/>
      <c r="G121" s="35"/>
      <c r="H121" s="35"/>
      <c r="I121" s="35"/>
      <c r="J121" s="35"/>
      <c r="K121" s="35"/>
      <c r="L121" s="35"/>
      <c r="M121" s="35"/>
      <c r="N121" s="35"/>
      <c r="O121" s="36"/>
      <c r="P121" s="36"/>
      <c r="Q121" s="37"/>
      <c r="R121" s="35"/>
      <c r="S121" s="35"/>
      <c r="T121" s="35"/>
    </row>
    <row r="122" spans="1:20" ht="18" customHeight="1" x14ac:dyDescent="0.2">
      <c r="A122" s="32"/>
      <c r="B122" s="33"/>
      <c r="C122" s="32"/>
      <c r="D122" s="32"/>
      <c r="E122" s="32"/>
      <c r="F122" s="34"/>
      <c r="G122" s="32"/>
      <c r="H122" s="32"/>
      <c r="I122" s="32"/>
      <c r="J122" s="32"/>
      <c r="K122" s="32"/>
      <c r="L122" s="32"/>
      <c r="M122" s="32"/>
      <c r="N122" s="32"/>
      <c r="O122" s="33"/>
      <c r="P122" s="33"/>
      <c r="Q122" s="34"/>
      <c r="R122" s="32"/>
      <c r="S122" s="32"/>
      <c r="T122" s="32"/>
    </row>
    <row r="123" spans="1:20" ht="18" customHeight="1" x14ac:dyDescent="0.2">
      <c r="A123" s="35"/>
      <c r="B123" s="36"/>
      <c r="C123" s="35"/>
      <c r="D123" s="35"/>
      <c r="E123" s="35"/>
      <c r="F123" s="37"/>
      <c r="G123" s="35"/>
      <c r="H123" s="35"/>
      <c r="I123" s="35"/>
      <c r="J123" s="35"/>
      <c r="K123" s="35"/>
      <c r="L123" s="35"/>
      <c r="M123" s="35"/>
      <c r="N123" s="35"/>
      <c r="O123" s="36"/>
      <c r="P123" s="36"/>
      <c r="Q123" s="37"/>
      <c r="R123" s="35"/>
      <c r="S123" s="35"/>
      <c r="T123" s="35"/>
    </row>
    <row r="124" spans="1:20" ht="18" customHeight="1" x14ac:dyDescent="0.2">
      <c r="A124" s="32"/>
      <c r="B124" s="33"/>
      <c r="C124" s="32"/>
      <c r="D124" s="32"/>
      <c r="E124" s="32"/>
      <c r="F124" s="34"/>
      <c r="G124" s="32"/>
      <c r="H124" s="32"/>
      <c r="I124" s="32"/>
      <c r="J124" s="32"/>
      <c r="K124" s="32"/>
      <c r="L124" s="32"/>
      <c r="M124" s="32"/>
      <c r="N124" s="32"/>
      <c r="O124" s="33"/>
      <c r="P124" s="33"/>
      <c r="Q124" s="34"/>
      <c r="R124" s="32"/>
      <c r="S124" s="32"/>
      <c r="T124" s="32"/>
    </row>
    <row r="125" spans="1:20" ht="18" customHeight="1" x14ac:dyDescent="0.2">
      <c r="A125" s="35"/>
      <c r="B125" s="36"/>
      <c r="C125" s="35"/>
      <c r="D125" s="35"/>
      <c r="E125" s="35"/>
      <c r="F125" s="37"/>
      <c r="G125" s="35"/>
      <c r="H125" s="35"/>
      <c r="I125" s="35"/>
      <c r="J125" s="35"/>
      <c r="K125" s="35"/>
      <c r="L125" s="35"/>
      <c r="M125" s="35"/>
      <c r="N125" s="35"/>
      <c r="O125" s="36"/>
      <c r="P125" s="36"/>
      <c r="Q125" s="37"/>
      <c r="R125" s="35"/>
      <c r="S125" s="35"/>
      <c r="T125" s="35"/>
    </row>
    <row r="126" spans="1:20" ht="18" customHeight="1" x14ac:dyDescent="0.2">
      <c r="A126" s="32"/>
      <c r="B126" s="33"/>
      <c r="C126" s="32"/>
      <c r="D126" s="32"/>
      <c r="E126" s="32"/>
      <c r="F126" s="34"/>
      <c r="G126" s="32"/>
      <c r="H126" s="32"/>
      <c r="I126" s="32"/>
      <c r="J126" s="32"/>
      <c r="K126" s="32"/>
      <c r="L126" s="32"/>
      <c r="M126" s="32"/>
      <c r="N126" s="32"/>
      <c r="O126" s="33"/>
      <c r="P126" s="33"/>
      <c r="Q126" s="34"/>
      <c r="R126" s="32"/>
      <c r="S126" s="32"/>
      <c r="T126" s="32"/>
    </row>
    <row r="127" spans="1:20" ht="18" customHeight="1" x14ac:dyDescent="0.2">
      <c r="A127" s="35"/>
      <c r="B127" s="36"/>
      <c r="C127" s="35"/>
      <c r="D127" s="35"/>
      <c r="E127" s="35"/>
      <c r="F127" s="37"/>
      <c r="G127" s="35"/>
      <c r="H127" s="35"/>
      <c r="I127" s="35"/>
      <c r="J127" s="35"/>
      <c r="K127" s="35"/>
      <c r="L127" s="35"/>
      <c r="M127" s="35"/>
      <c r="N127" s="35"/>
      <c r="O127" s="36"/>
      <c r="P127" s="36"/>
      <c r="Q127" s="37"/>
      <c r="R127" s="35"/>
      <c r="S127" s="35"/>
      <c r="T127" s="35"/>
    </row>
    <row r="128" spans="1:20" ht="18" customHeight="1" x14ac:dyDescent="0.2">
      <c r="A128" s="32"/>
      <c r="B128" s="33"/>
      <c r="C128" s="32"/>
      <c r="D128" s="32"/>
      <c r="E128" s="32"/>
      <c r="F128" s="34"/>
      <c r="G128" s="32"/>
      <c r="H128" s="32"/>
      <c r="I128" s="32"/>
      <c r="J128" s="32"/>
      <c r="K128" s="32"/>
      <c r="L128" s="32"/>
      <c r="M128" s="32"/>
      <c r="N128" s="32"/>
      <c r="O128" s="33"/>
      <c r="P128" s="33"/>
      <c r="Q128" s="34"/>
      <c r="R128" s="32"/>
      <c r="S128" s="32"/>
      <c r="T128" s="32"/>
    </row>
    <row r="129" spans="1:20" ht="18" customHeight="1" x14ac:dyDescent="0.2">
      <c r="A129" s="35"/>
      <c r="B129" s="36"/>
      <c r="C129" s="35"/>
      <c r="D129" s="35"/>
      <c r="E129" s="35"/>
      <c r="F129" s="37"/>
      <c r="G129" s="35"/>
      <c r="H129" s="35"/>
      <c r="I129" s="35"/>
      <c r="J129" s="35"/>
      <c r="K129" s="35"/>
      <c r="L129" s="35"/>
      <c r="M129" s="35"/>
      <c r="N129" s="35"/>
      <c r="O129" s="36"/>
      <c r="P129" s="36"/>
      <c r="Q129" s="37"/>
      <c r="R129" s="35"/>
      <c r="S129" s="35"/>
      <c r="T129" s="35"/>
    </row>
    <row r="130" spans="1:20" ht="18" customHeight="1" x14ac:dyDescent="0.2">
      <c r="A130" s="32"/>
      <c r="B130" s="33"/>
      <c r="C130" s="32"/>
      <c r="D130" s="32"/>
      <c r="E130" s="32"/>
      <c r="F130" s="34"/>
      <c r="G130" s="32"/>
      <c r="H130" s="32"/>
      <c r="I130" s="32"/>
      <c r="J130" s="32"/>
      <c r="K130" s="32"/>
      <c r="L130" s="32"/>
      <c r="M130" s="32"/>
      <c r="N130" s="32"/>
      <c r="O130" s="33"/>
      <c r="P130" s="33"/>
      <c r="Q130" s="34"/>
      <c r="R130" s="32"/>
      <c r="S130" s="32"/>
      <c r="T130" s="32"/>
    </row>
    <row r="131" spans="1:20" ht="18" customHeight="1" x14ac:dyDescent="0.2">
      <c r="A131" s="35"/>
      <c r="B131" s="36"/>
      <c r="C131" s="35"/>
      <c r="D131" s="35"/>
      <c r="E131" s="35"/>
      <c r="F131" s="37"/>
      <c r="G131" s="35"/>
      <c r="H131" s="35"/>
      <c r="I131" s="35"/>
      <c r="J131" s="35"/>
      <c r="K131" s="35"/>
      <c r="L131" s="35"/>
      <c r="M131" s="35"/>
      <c r="N131" s="35"/>
      <c r="O131" s="36"/>
      <c r="P131" s="36"/>
      <c r="Q131" s="37"/>
      <c r="R131" s="35"/>
      <c r="S131" s="35"/>
      <c r="T131" s="35"/>
    </row>
    <row r="132" spans="1:20" ht="18" customHeight="1" x14ac:dyDescent="0.2">
      <c r="A132" s="32"/>
      <c r="B132" s="33"/>
      <c r="C132" s="32"/>
      <c r="D132" s="32"/>
      <c r="E132" s="32"/>
      <c r="F132" s="34"/>
      <c r="G132" s="32"/>
      <c r="H132" s="32"/>
      <c r="I132" s="32"/>
      <c r="J132" s="32"/>
      <c r="K132" s="32"/>
      <c r="L132" s="32"/>
      <c r="M132" s="32"/>
      <c r="N132" s="32"/>
      <c r="O132" s="33"/>
      <c r="P132" s="33"/>
      <c r="Q132" s="34"/>
      <c r="R132" s="32"/>
      <c r="S132" s="32"/>
      <c r="T132" s="32"/>
    </row>
    <row r="133" spans="1:20" ht="18" customHeight="1" x14ac:dyDescent="0.2">
      <c r="A133" s="35"/>
      <c r="B133" s="36"/>
      <c r="C133" s="35"/>
      <c r="D133" s="35"/>
      <c r="E133" s="35"/>
      <c r="F133" s="37"/>
      <c r="G133" s="35"/>
      <c r="H133" s="35"/>
      <c r="I133" s="35"/>
      <c r="J133" s="35"/>
      <c r="K133" s="35"/>
      <c r="L133" s="35"/>
      <c r="M133" s="35"/>
      <c r="N133" s="35"/>
      <c r="O133" s="36"/>
      <c r="P133" s="36"/>
      <c r="Q133" s="37"/>
      <c r="R133" s="35"/>
      <c r="S133" s="35"/>
      <c r="T133" s="35"/>
    </row>
    <row r="134" spans="1:20" ht="18" customHeight="1" x14ac:dyDescent="0.2">
      <c r="A134" s="32"/>
      <c r="B134" s="33"/>
      <c r="C134" s="32"/>
      <c r="D134" s="32"/>
      <c r="E134" s="32"/>
      <c r="F134" s="34"/>
      <c r="G134" s="32"/>
      <c r="H134" s="32"/>
      <c r="I134" s="32"/>
      <c r="J134" s="32"/>
      <c r="K134" s="32"/>
      <c r="L134" s="32"/>
      <c r="M134" s="32"/>
      <c r="N134" s="32"/>
      <c r="O134" s="33"/>
      <c r="P134" s="33"/>
      <c r="Q134" s="34"/>
      <c r="R134" s="32"/>
      <c r="S134" s="32"/>
      <c r="T134" s="32"/>
    </row>
    <row r="135" spans="1:20" ht="18" customHeight="1" x14ac:dyDescent="0.2">
      <c r="A135" s="35"/>
      <c r="B135" s="36"/>
      <c r="C135" s="35"/>
      <c r="D135" s="35"/>
      <c r="E135" s="35"/>
      <c r="F135" s="37"/>
      <c r="G135" s="35"/>
      <c r="H135" s="35"/>
      <c r="I135" s="35"/>
      <c r="J135" s="35"/>
      <c r="K135" s="35"/>
      <c r="L135" s="35"/>
      <c r="M135" s="35"/>
      <c r="N135" s="35"/>
      <c r="O135" s="36"/>
      <c r="P135" s="36"/>
      <c r="Q135" s="37"/>
      <c r="R135" s="35"/>
      <c r="S135" s="35"/>
      <c r="T135" s="35"/>
    </row>
    <row r="136" spans="1:20" ht="18" customHeight="1" x14ac:dyDescent="0.2">
      <c r="A136" s="32"/>
      <c r="B136" s="33"/>
      <c r="C136" s="32"/>
      <c r="D136" s="32"/>
      <c r="E136" s="32"/>
      <c r="F136" s="34"/>
      <c r="G136" s="32"/>
      <c r="H136" s="32"/>
      <c r="I136" s="32"/>
      <c r="J136" s="32"/>
      <c r="K136" s="32"/>
      <c r="L136" s="32"/>
      <c r="M136" s="32"/>
      <c r="N136" s="32"/>
      <c r="O136" s="33"/>
      <c r="P136" s="33"/>
      <c r="Q136" s="34"/>
      <c r="R136" s="32"/>
      <c r="S136" s="32"/>
      <c r="T136" s="32"/>
    </row>
    <row r="137" spans="1:20" ht="18" customHeight="1" x14ac:dyDescent="0.2">
      <c r="A137" s="35"/>
      <c r="B137" s="36"/>
      <c r="C137" s="35"/>
      <c r="D137" s="35"/>
      <c r="E137" s="35"/>
      <c r="F137" s="37"/>
      <c r="G137" s="35"/>
      <c r="H137" s="35"/>
      <c r="I137" s="35"/>
      <c r="J137" s="35"/>
      <c r="K137" s="35"/>
      <c r="L137" s="35"/>
      <c r="M137" s="35"/>
      <c r="N137" s="35"/>
      <c r="O137" s="36"/>
      <c r="P137" s="36"/>
      <c r="Q137" s="37"/>
      <c r="R137" s="35"/>
      <c r="S137" s="35"/>
      <c r="T137" s="35"/>
    </row>
    <row r="138" spans="1:20" ht="18" customHeight="1" x14ac:dyDescent="0.2">
      <c r="A138" s="32"/>
      <c r="B138" s="33"/>
      <c r="C138" s="32"/>
      <c r="D138" s="32"/>
      <c r="E138" s="32"/>
      <c r="F138" s="34"/>
      <c r="G138" s="32"/>
      <c r="H138" s="32"/>
      <c r="I138" s="32"/>
      <c r="J138" s="32"/>
      <c r="K138" s="32"/>
      <c r="L138" s="32"/>
      <c r="M138" s="32"/>
      <c r="N138" s="32"/>
      <c r="O138" s="33"/>
      <c r="P138" s="33"/>
      <c r="Q138" s="34"/>
      <c r="R138" s="32"/>
      <c r="S138" s="32"/>
      <c r="T138" s="32"/>
    </row>
    <row r="139" spans="1:20" ht="18" customHeight="1" x14ac:dyDescent="0.2">
      <c r="A139" s="35"/>
      <c r="B139" s="36"/>
      <c r="C139" s="35"/>
      <c r="D139" s="35"/>
      <c r="E139" s="35"/>
      <c r="F139" s="37"/>
      <c r="G139" s="35"/>
      <c r="H139" s="35"/>
      <c r="I139" s="35"/>
      <c r="J139" s="35"/>
      <c r="K139" s="35"/>
      <c r="L139" s="35"/>
      <c r="M139" s="35"/>
      <c r="N139" s="35"/>
      <c r="O139" s="36"/>
      <c r="P139" s="36"/>
      <c r="Q139" s="37"/>
      <c r="R139" s="35"/>
      <c r="S139" s="35"/>
      <c r="T139" s="35"/>
    </row>
    <row r="140" spans="1:20" ht="18" customHeight="1" x14ac:dyDescent="0.2">
      <c r="A140" s="32"/>
      <c r="B140" s="33"/>
      <c r="C140" s="32"/>
      <c r="D140" s="32"/>
      <c r="E140" s="32"/>
      <c r="F140" s="34"/>
      <c r="G140" s="32"/>
      <c r="H140" s="32"/>
      <c r="I140" s="32"/>
      <c r="J140" s="32"/>
      <c r="K140" s="32"/>
      <c r="L140" s="32"/>
      <c r="M140" s="32"/>
      <c r="N140" s="32"/>
      <c r="O140" s="33"/>
      <c r="P140" s="33"/>
      <c r="Q140" s="34"/>
      <c r="R140" s="32"/>
      <c r="S140" s="32"/>
      <c r="T140" s="32"/>
    </row>
    <row r="141" spans="1:20" ht="18" customHeight="1" x14ac:dyDescent="0.2">
      <c r="A141" s="35"/>
      <c r="B141" s="36"/>
      <c r="C141" s="35"/>
      <c r="D141" s="35"/>
      <c r="E141" s="35"/>
      <c r="F141" s="37"/>
      <c r="G141" s="35"/>
      <c r="H141" s="35"/>
      <c r="I141" s="35"/>
      <c r="J141" s="35"/>
      <c r="K141" s="35"/>
      <c r="L141" s="35"/>
      <c r="M141" s="35"/>
      <c r="N141" s="35"/>
      <c r="O141" s="36"/>
      <c r="P141" s="36"/>
      <c r="Q141" s="37"/>
      <c r="R141" s="35"/>
      <c r="S141" s="35"/>
      <c r="T141" s="35"/>
    </row>
    <row r="142" spans="1:20" ht="18" customHeight="1" x14ac:dyDescent="0.2">
      <c r="A142" s="32"/>
      <c r="B142" s="33"/>
      <c r="C142" s="32"/>
      <c r="D142" s="32"/>
      <c r="E142" s="32"/>
      <c r="F142" s="34"/>
      <c r="G142" s="32"/>
      <c r="H142" s="32"/>
      <c r="I142" s="32"/>
      <c r="J142" s="32"/>
      <c r="K142" s="32"/>
      <c r="L142" s="32"/>
      <c r="M142" s="32"/>
      <c r="N142" s="32"/>
      <c r="O142" s="33"/>
      <c r="P142" s="33"/>
      <c r="Q142" s="34"/>
      <c r="R142" s="32"/>
      <c r="S142" s="32"/>
      <c r="T142" s="32"/>
    </row>
    <row r="143" spans="1:20" ht="18" customHeight="1" x14ac:dyDescent="0.2">
      <c r="A143" s="35"/>
      <c r="B143" s="36"/>
      <c r="C143" s="35"/>
      <c r="D143" s="35"/>
      <c r="E143" s="35"/>
      <c r="F143" s="37"/>
      <c r="G143" s="35"/>
      <c r="H143" s="35"/>
      <c r="I143" s="35"/>
      <c r="J143" s="35"/>
      <c r="K143" s="35"/>
      <c r="L143" s="35"/>
      <c r="M143" s="35"/>
      <c r="N143" s="35"/>
      <c r="O143" s="36"/>
      <c r="P143" s="36"/>
      <c r="Q143" s="37"/>
      <c r="R143" s="35"/>
      <c r="S143" s="35"/>
      <c r="T143" s="35"/>
    </row>
    <row r="144" spans="1:20" ht="18" customHeight="1" x14ac:dyDescent="0.2">
      <c r="A144" s="32"/>
      <c r="B144" s="33"/>
      <c r="C144" s="32"/>
      <c r="D144" s="32"/>
      <c r="E144" s="32"/>
      <c r="F144" s="34"/>
      <c r="G144" s="32"/>
      <c r="H144" s="32"/>
      <c r="I144" s="32"/>
      <c r="J144" s="32"/>
      <c r="K144" s="32"/>
      <c r="L144" s="32"/>
      <c r="M144" s="32"/>
      <c r="N144" s="32"/>
      <c r="O144" s="33"/>
      <c r="P144" s="33"/>
      <c r="Q144" s="34"/>
      <c r="R144" s="32"/>
      <c r="S144" s="32"/>
      <c r="T144" s="32"/>
    </row>
    <row r="145" spans="1:20" ht="18" customHeight="1" x14ac:dyDescent="0.2">
      <c r="A145" s="35"/>
      <c r="B145" s="36"/>
      <c r="C145" s="35"/>
      <c r="D145" s="35"/>
      <c r="E145" s="35"/>
      <c r="F145" s="37"/>
      <c r="G145" s="35"/>
      <c r="H145" s="35"/>
      <c r="I145" s="35"/>
      <c r="J145" s="35"/>
      <c r="K145" s="35"/>
      <c r="L145" s="35"/>
      <c r="M145" s="35"/>
      <c r="N145" s="35"/>
      <c r="O145" s="36"/>
      <c r="P145" s="36"/>
      <c r="Q145" s="37"/>
      <c r="R145" s="35"/>
      <c r="S145" s="35"/>
      <c r="T145" s="35"/>
    </row>
    <row r="146" spans="1:20" ht="18" customHeight="1" x14ac:dyDescent="0.2">
      <c r="A146" s="32"/>
      <c r="B146" s="33"/>
      <c r="C146" s="32"/>
      <c r="D146" s="32"/>
      <c r="E146" s="32"/>
      <c r="F146" s="34"/>
      <c r="G146" s="32"/>
      <c r="H146" s="32"/>
      <c r="I146" s="32"/>
      <c r="J146" s="32"/>
      <c r="K146" s="32"/>
      <c r="L146" s="32"/>
      <c r="M146" s="32"/>
      <c r="N146" s="32"/>
      <c r="O146" s="33"/>
      <c r="P146" s="33"/>
      <c r="Q146" s="34"/>
      <c r="R146" s="32"/>
      <c r="S146" s="32"/>
      <c r="T146" s="32"/>
    </row>
    <row r="147" spans="1:20" ht="18" customHeight="1" x14ac:dyDescent="0.2">
      <c r="A147" s="35"/>
      <c r="B147" s="36"/>
      <c r="C147" s="35"/>
      <c r="D147" s="35"/>
      <c r="E147" s="35"/>
      <c r="F147" s="37"/>
      <c r="G147" s="35"/>
      <c r="H147" s="35"/>
      <c r="I147" s="35"/>
      <c r="J147" s="35"/>
      <c r="K147" s="35"/>
      <c r="L147" s="35"/>
      <c r="M147" s="35"/>
      <c r="N147" s="35"/>
      <c r="O147" s="36"/>
      <c r="P147" s="36"/>
      <c r="Q147" s="37"/>
      <c r="R147" s="35"/>
      <c r="S147" s="35"/>
      <c r="T147" s="35"/>
    </row>
    <row r="148" spans="1:20" ht="18" customHeight="1" x14ac:dyDescent="0.2">
      <c r="A148" s="32"/>
      <c r="B148" s="33"/>
      <c r="C148" s="32"/>
      <c r="D148" s="32"/>
      <c r="E148" s="32"/>
      <c r="F148" s="34"/>
      <c r="G148" s="32"/>
      <c r="H148" s="32"/>
      <c r="I148" s="32"/>
      <c r="J148" s="32"/>
      <c r="K148" s="32"/>
      <c r="L148" s="32"/>
      <c r="M148" s="32"/>
      <c r="N148" s="32"/>
      <c r="O148" s="33"/>
      <c r="P148" s="33"/>
      <c r="Q148" s="34"/>
      <c r="R148" s="32"/>
      <c r="S148" s="32"/>
      <c r="T148" s="32"/>
    </row>
  </sheetData>
  <autoFilter ref="A4:T148" xr:uid="{00000000-0009-0000-0000-000001000000}"/>
  <mergeCells count="2">
    <mergeCell ref="A1:T2"/>
    <mergeCell ref="A3:T3"/>
  </mergeCells>
  <conditionalFormatting sqref="N5:N148">
    <cfRule type="cellIs" dxfId="11" priority="1" operator="equal">
      <formula>"Not Contacted"</formula>
    </cfRule>
    <cfRule type="cellIs" dxfId="10" priority="2" operator="equal">
      <formula>"Contacted"</formula>
    </cfRule>
    <cfRule type="cellIs" dxfId="9" priority="3" operator="equal">
      <formula>"Follow-Up Needed"</formula>
    </cfRule>
    <cfRule type="cellIs" dxfId="8" priority="4" operator="equal">
      <formula>"Interested"</formula>
    </cfRule>
    <cfRule type="cellIs" dxfId="7" priority="5" operator="equal">
      <formula>"Meeting Scheduled"</formula>
    </cfRule>
    <cfRule type="cellIs" dxfId="6" priority="6" operator="equal">
      <formula>"Proposal Sent"</formula>
    </cfRule>
    <cfRule type="cellIs" dxfId="5" priority="7" operator="equal">
      <formula>"Won - Customer"</formula>
    </cfRule>
    <cfRule type="cellIs" dxfId="4" priority="8" operator="equal">
      <formula>"Not Interested"</formula>
    </cfRule>
    <cfRule type="cellIs" dxfId="3" priority="9" operator="equal">
      <formula>"No Response"</formula>
    </cfRule>
  </conditionalFormatting>
  <conditionalFormatting sqref="R5:R148">
    <cfRule type="cellIs" dxfId="2" priority="10" operator="equal">
      <formula>"High"</formula>
    </cfRule>
    <cfRule type="cellIs" dxfId="1" priority="11" operator="equal">
      <formula>"Medium"</formula>
    </cfRule>
    <cfRule type="cellIs" dxfId="0" priority="12" operator="equal">
      <formula>"Low"</formula>
    </cfRule>
  </conditionalFormatting>
  <dataValidations count="4">
    <dataValidation type="list" allowBlank="1" sqref="D5:D148" xr:uid="{00000000-0002-0000-0100-000000000000}">
      <formula1>"Player,Club,High School Coach,Club Coach,Parent,Recruiter/Scout,Other"</formula1>
    </dataValidation>
    <dataValidation type="list" allowBlank="1" sqref="N5:N148" xr:uid="{00000000-0002-0000-0100-000001000000}">
      <formula1>"Not Contacted,Contacted,Follow-Up Needed,Interested,Meeting Scheduled,Proposal Sent,Won - Customer,Not Interested,No Response"</formula1>
    </dataValidation>
    <dataValidation type="list" allowBlank="1" sqref="M5:M148" xr:uid="{00000000-0002-0000-0100-000002000000}">
      <formula1>"Email,Phone Call,Text,Instagram DM,In-Person,Other Social Media,Referral"</formula1>
    </dataValidation>
    <dataValidation type="list" allowBlank="1" sqref="R5:R148" xr:uid="{00000000-0002-0000-0100-000003000000}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7280"/>
  </sheetPr>
  <dimension ref="A1:C23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30" customWidth="1"/>
    <col min="3" max="3" width="68" customWidth="1"/>
  </cols>
  <sheetData>
    <row r="1" spans="1:3" ht="10" customHeight="1" x14ac:dyDescent="0.2">
      <c r="A1" s="21" t="s">
        <v>287</v>
      </c>
      <c r="B1" s="10"/>
      <c r="C1" s="10"/>
    </row>
    <row r="2" spans="1:3" ht="26" customHeight="1" x14ac:dyDescent="0.2">
      <c r="A2" s="10"/>
      <c r="B2" s="10"/>
      <c r="C2" s="10"/>
    </row>
    <row r="3" spans="1:3" ht="8" customHeight="1" x14ac:dyDescent="0.2">
      <c r="A3" s="11"/>
      <c r="B3" s="11"/>
      <c r="C3" s="11"/>
    </row>
    <row r="5" spans="1:3" ht="22" customHeight="1" x14ac:dyDescent="0.2">
      <c r="B5" s="20" t="s">
        <v>288</v>
      </c>
      <c r="C5" s="10"/>
    </row>
    <row r="6" spans="1:3" ht="32" customHeight="1" x14ac:dyDescent="0.2">
      <c r="B6" s="6" t="s">
        <v>289</v>
      </c>
      <c r="C6" s="7" t="s">
        <v>290</v>
      </c>
    </row>
    <row r="7" spans="1:3" ht="32" customHeight="1" x14ac:dyDescent="0.2">
      <c r="B7" s="6" t="s">
        <v>291</v>
      </c>
      <c r="C7" s="7" t="s">
        <v>292</v>
      </c>
    </row>
    <row r="9" spans="1:3" ht="22" customHeight="1" x14ac:dyDescent="0.2">
      <c r="B9" s="20" t="s">
        <v>293</v>
      </c>
      <c r="C9" s="10"/>
    </row>
    <row r="10" spans="1:3" x14ac:dyDescent="0.2">
      <c r="B10" s="8" t="s">
        <v>57</v>
      </c>
      <c r="C10" s="9" t="s">
        <v>294</v>
      </c>
    </row>
    <row r="11" spans="1:3" x14ac:dyDescent="0.2">
      <c r="B11" s="8" t="s">
        <v>274</v>
      </c>
      <c r="C11" s="9" t="s">
        <v>295</v>
      </c>
    </row>
    <row r="12" spans="1:3" x14ac:dyDescent="0.2">
      <c r="B12" s="8" t="s">
        <v>40</v>
      </c>
      <c r="C12" s="9" t="s">
        <v>296</v>
      </c>
    </row>
    <row r="13" spans="1:3" x14ac:dyDescent="0.2">
      <c r="B13" s="8" t="s">
        <v>31</v>
      </c>
      <c r="C13" s="9" t="s">
        <v>297</v>
      </c>
    </row>
    <row r="14" spans="1:3" x14ac:dyDescent="0.2">
      <c r="B14" s="8" t="s">
        <v>50</v>
      </c>
      <c r="C14" s="9" t="s">
        <v>298</v>
      </c>
    </row>
    <row r="15" spans="1:3" x14ac:dyDescent="0.2">
      <c r="B15" s="8" t="s">
        <v>277</v>
      </c>
      <c r="C15" s="9" t="s">
        <v>299</v>
      </c>
    </row>
    <row r="16" spans="1:3" x14ac:dyDescent="0.2">
      <c r="B16" s="8" t="s">
        <v>279</v>
      </c>
      <c r="C16" s="9" t="s">
        <v>300</v>
      </c>
    </row>
    <row r="17" spans="2:3" x14ac:dyDescent="0.2">
      <c r="B17" s="8" t="s">
        <v>281</v>
      </c>
      <c r="C17" s="9" t="s">
        <v>301</v>
      </c>
    </row>
    <row r="18" spans="2:3" x14ac:dyDescent="0.2">
      <c r="B18" s="8" t="s">
        <v>282</v>
      </c>
      <c r="C18" s="9" t="s">
        <v>302</v>
      </c>
    </row>
    <row r="20" spans="2:3" ht="22" customHeight="1" x14ac:dyDescent="0.2">
      <c r="B20" s="20" t="s">
        <v>303</v>
      </c>
      <c r="C20" s="10"/>
    </row>
    <row r="21" spans="2:3" x14ac:dyDescent="0.2">
      <c r="B21" s="8" t="s">
        <v>32</v>
      </c>
      <c r="C21" s="9" t="s">
        <v>304</v>
      </c>
    </row>
    <row r="22" spans="2:3" x14ac:dyDescent="0.2">
      <c r="B22" s="8" t="s">
        <v>41</v>
      </c>
      <c r="C22" s="9" t="s">
        <v>305</v>
      </c>
    </row>
    <row r="23" spans="2:3" x14ac:dyDescent="0.2">
      <c r="B23" s="8" t="s">
        <v>286</v>
      </c>
      <c r="C23" s="9" t="s">
        <v>306</v>
      </c>
    </row>
  </sheetData>
  <mergeCells count="4">
    <mergeCell ref="B9:C9"/>
    <mergeCell ref="B5:C5"/>
    <mergeCell ref="B20:C20"/>
    <mergeCell ref="A1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Outreach Tracker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Solomon, Eileen</cp:lastModifiedBy>
  <dcterms:created xsi:type="dcterms:W3CDTF">2026-07-09T20:25:16Z</dcterms:created>
  <dcterms:modified xsi:type="dcterms:W3CDTF">2026-07-09T20:58:07Z</dcterms:modified>
</cp:coreProperties>
</file>